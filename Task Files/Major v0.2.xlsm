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uke01\Desktop\Stuff\Year 11\IPT\Assessment Task 2\Task Files\"/>
    </mc:Choice>
  </mc:AlternateContent>
  <bookViews>
    <workbookView xWindow="0" yWindow="0" windowWidth="20520" windowHeight="10988" activeTab="5"/>
  </bookViews>
  <sheets>
    <sheet name="Login" sheetId="5" r:id="rId1"/>
    <sheet name="Admin Menu" sheetId="6" r:id="rId2"/>
    <sheet name="User Menu" sheetId="4" r:id="rId3"/>
    <sheet name="User Menu NT" sheetId="8" r:id="rId4"/>
    <sheet name="Input" sheetId="2" r:id="rId5"/>
    <sheet name="Quote Summary" sheetId="7" r:id="rId6"/>
    <sheet name="Analysis" sheetId="9" r:id="rId7"/>
    <sheet name="Datastore" sheetId="3" r:id="rId8"/>
    <sheet name="Lookup" sheetId="1" r:id="rId9"/>
  </sheets>
  <definedNames>
    <definedName name="age">Input!$J$14</definedName>
    <definedName name="ageCalc">Input!$R$8</definedName>
    <definedName name="ageErrMsg">Input!$L$14</definedName>
    <definedName name="ageTable">Lookup!$I$2:$J$5</definedName>
    <definedName name="carAgeErr">Input!$F$22</definedName>
    <definedName name="carAgeFactor">Lookup!$I$8:$J$14</definedName>
    <definedName name="carAgeNumber">Input!$C$22</definedName>
    <definedName name="carTypeErrMsg">Input!$F$14</definedName>
    <definedName name="carTypeFactor">Lookup!$P$2:$Q$7</definedName>
    <definedName name="carTypeLU">Lookup!$P$2:$P$7</definedName>
    <definedName name="carTypeModel">Input!$C$14</definedName>
    <definedName name="DOB">Input!$C$10</definedName>
    <definedName name="DOBErrMsg">Input!$F$10</definedName>
    <definedName name="firstName">Input!$C$6</definedName>
    <definedName name="firstNameErrMsg">Input!$F$6</definedName>
    <definedName name="genderErrMsg">Input!$F$12</definedName>
    <definedName name="genderInput">Input!$C$12</definedName>
    <definedName name="genderLU">Lookup!$F$2:$F$3</definedName>
    <definedName name="genderTable">Lookup!$F$2:$G$3</definedName>
    <definedName name="getQuoteNo">'Quote Summary'!$B$4</definedName>
    <definedName name="insuranceTypeFactor">Lookup!$V$2:$W$5</definedName>
    <definedName name="insuranceTypeLU">Lookup!$V$2:$V$5</definedName>
    <definedName name="licensePlateErr">Input!$F$16</definedName>
    <definedName name="licensePlateNumber">Input!$C$16</definedName>
    <definedName name="loginLU">Lookup!$L$2:$N$3</definedName>
    <definedName name="loginMsg">Login!$C$6</definedName>
    <definedName name="loginStatus">Login!$C$14</definedName>
    <definedName name="maxAge">Lookup!$I$5</definedName>
    <definedName name="mileageErr">Input!$F$18</definedName>
    <definedName name="mileageFactor">Lookup!$S$2:$T$9</definedName>
    <definedName name="mileageInput">Input!$C$18</definedName>
    <definedName name="minAge">Lookup!$I$2</definedName>
    <definedName name="occupationName">Input!#REF!</definedName>
    <definedName name="oldQuoteFound">'Quote Summary'!$D$2</definedName>
    <definedName name="parkingLocationErr">Input!$F$20</definedName>
    <definedName name="parkingLocationFactor">Lookup!$Y$2:$Z$4</definedName>
    <definedName name="parkingLocationLU">Lookup!$Y$2:$Y$4</definedName>
    <definedName name="parkingLocationName">Input!$C$20</definedName>
    <definedName name="password">Login!$C$10</definedName>
    <definedName name="passwords">Lookup!$M$2:$M$3</definedName>
    <definedName name="postcodeNumber">Input!$J$10</definedName>
    <definedName name="postcodeNumberErrMsg">Input!$L$10</definedName>
    <definedName name="_xlnm.Print_Area" localSheetId="5">'Quote Summary'!$A$8:$N$39</definedName>
    <definedName name="quoteNumber">Input!$J$18</definedName>
    <definedName name="role">Login!$C$12</definedName>
    <definedName name="roles">Lookup!$N$2:$N$3</definedName>
    <definedName name="stateFactor">Lookup!$E$8:$F$15</definedName>
    <definedName name="stateLU">Lookup!$E$8:$E$15</definedName>
    <definedName name="stateName">Input!$J$12</definedName>
    <definedName name="stateNameErrMsg">Input!$L$12</definedName>
    <definedName name="streetAddress">Input!$J$6</definedName>
    <definedName name="streetAddressErrMsg">Input!$L$6</definedName>
    <definedName name="suburbName">Input!$J$8</definedName>
    <definedName name="suburbNameErrMsg">Input!$L$8</definedName>
    <definedName name="surName">Input!$C$8</definedName>
    <definedName name="surNameErrMsg">Input!$F$8</definedName>
    <definedName name="totalPremium">Input!$J$16</definedName>
    <definedName name="totalPremiumCalc">Input!$S$16</definedName>
    <definedName name="typeOfInsuranceErr">Input!$F$24</definedName>
    <definedName name="typeOfInsuranceName">Input!$C$24</definedName>
    <definedName name="username">Login!$C$8</definedName>
    <definedName name="usernames">Lookup!$L$2:$L$3</definedName>
    <definedName name="validLogin">Login!$G$11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7" l="1"/>
  <c r="R2" i="7"/>
  <c r="Q2" i="7"/>
  <c r="P2" i="7"/>
  <c r="O2" i="7"/>
  <c r="N2" i="7"/>
  <c r="T14" i="2" l="1"/>
  <c r="S14" i="2" s="1"/>
  <c r="T13" i="2"/>
  <c r="R14" i="2"/>
  <c r="T11" i="2"/>
  <c r="T12" i="2" l="1"/>
  <c r="R13" i="2" l="1"/>
  <c r="T10" i="2"/>
  <c r="T9" i="2"/>
  <c r="R12" i="2"/>
  <c r="R11" i="2"/>
  <c r="R10" i="2"/>
  <c r="R9" i="2" l="1"/>
  <c r="U2" i="7" l="1"/>
  <c r="E2" i="7" l="1"/>
  <c r="T2" i="7" l="1"/>
  <c r="B4" i="9" l="1"/>
  <c r="B3" i="9"/>
  <c r="C4" i="9"/>
  <c r="C3" i="9"/>
  <c r="D4" i="9" l="1"/>
  <c r="D3" i="9"/>
  <c r="F2" i="7"/>
  <c r="M2" i="7" l="1"/>
  <c r="L2" i="7"/>
  <c r="K2" i="7"/>
  <c r="J2" i="7"/>
  <c r="I2" i="7"/>
  <c r="H2" i="7"/>
  <c r="G2" i="7"/>
  <c r="D2" i="7"/>
  <c r="H9" i="5" l="1"/>
  <c r="C12" i="5" s="1"/>
  <c r="G9" i="5"/>
  <c r="G11" i="5" s="1"/>
  <c r="J18" i="2" l="1"/>
  <c r="B3" i="1"/>
  <c r="T7" i="2" l="1"/>
  <c r="X7" i="2" l="1"/>
  <c r="AA7" i="2" s="1"/>
  <c r="X6" i="2"/>
  <c r="R7" i="2"/>
  <c r="Y6" i="2" l="1"/>
  <c r="Y7" i="2"/>
  <c r="Z7" i="2"/>
  <c r="AA6" i="2"/>
  <c r="AA8" i="2" s="1"/>
  <c r="Z6" i="2"/>
  <c r="S5" i="2"/>
  <c r="S11" i="2" l="1"/>
  <c r="S12" i="2"/>
  <c r="S13" i="2"/>
  <c r="S10" i="2"/>
  <c r="S7" i="2"/>
  <c r="S9" i="2"/>
  <c r="Z8" i="2"/>
  <c r="Z9" i="2" s="1"/>
  <c r="AA9" i="2" s="1"/>
  <c r="Y8" i="2"/>
  <c r="AB9" i="2" l="1"/>
  <c r="R8" i="2" l="1"/>
  <c r="J14" i="2" s="1"/>
  <c r="T8" i="2" l="1"/>
  <c r="S8" i="2" s="1"/>
  <c r="S16" i="2" s="1"/>
  <c r="J16" i="2" s="1"/>
</calcChain>
</file>

<file path=xl/sharedStrings.xml><?xml version="1.0" encoding="utf-8"?>
<sst xmlns="http://schemas.openxmlformats.org/spreadsheetml/2006/main" count="195" uniqueCount="113">
  <si>
    <t>Main Menu</t>
  </si>
  <si>
    <t>Street Address</t>
  </si>
  <si>
    <t>Surname</t>
  </si>
  <si>
    <t>First Name</t>
  </si>
  <si>
    <t>Postcode</t>
  </si>
  <si>
    <t>Quote #</t>
  </si>
  <si>
    <t>CurrentQuote #</t>
  </si>
  <si>
    <t>NextQuote #</t>
  </si>
  <si>
    <t>Base Premium</t>
  </si>
  <si>
    <t>M</t>
  </si>
  <si>
    <t>Gender</t>
  </si>
  <si>
    <t>F</t>
  </si>
  <si>
    <t>Age</t>
  </si>
  <si>
    <t>Range</t>
  </si>
  <si>
    <t>Factor</t>
  </si>
  <si>
    <t>Cameron</t>
  </si>
  <si>
    <t>Li</t>
  </si>
  <si>
    <t>Quote Number</t>
  </si>
  <si>
    <t>Date Of Birth</t>
  </si>
  <si>
    <t>Total Premium</t>
  </si>
  <si>
    <t>Username</t>
  </si>
  <si>
    <t>Password</t>
  </si>
  <si>
    <t>Role</t>
  </si>
  <si>
    <t>admin</t>
  </si>
  <si>
    <t>user</t>
  </si>
  <si>
    <t>password</t>
  </si>
  <si>
    <t>Suburb</t>
  </si>
  <si>
    <t>State</t>
  </si>
  <si>
    <t>Car Type</t>
  </si>
  <si>
    <t>Sedan</t>
  </si>
  <si>
    <t>SUV</t>
  </si>
  <si>
    <t>Offroad</t>
  </si>
  <si>
    <t>Vintage</t>
  </si>
  <si>
    <t>Sport</t>
  </si>
  <si>
    <t>Dist Travelled Anually</t>
  </si>
  <si>
    <t>Retrieve Quote</t>
  </si>
  <si>
    <t>Quotation Summary</t>
  </si>
  <si>
    <t>You Have Successfully Logged In. Welcome, Administrator.</t>
  </si>
  <si>
    <t>Administrator Main Menu</t>
  </si>
  <si>
    <t>You Have Successfully Logged In. Welcome, User.</t>
  </si>
  <si>
    <t>USERNAME</t>
  </si>
  <si>
    <t>PASSWORD</t>
  </si>
  <si>
    <t>LOGIN</t>
  </si>
  <si>
    <t>License Plate #</t>
  </si>
  <si>
    <t>Mileage</t>
  </si>
  <si>
    <t>Parking Location</t>
  </si>
  <si>
    <t>Car Age</t>
  </si>
  <si>
    <t>Type of Insurance</t>
  </si>
  <si>
    <t>Premiums by Gender</t>
  </si>
  <si>
    <t>Number of Quotes by Gender</t>
  </si>
  <si>
    <t>Total Premiums by Gender</t>
  </si>
  <si>
    <t>Average Premium by Gender</t>
  </si>
  <si>
    <t>Insurance Type</t>
  </si>
  <si>
    <t>Mileage (km)</t>
  </si>
  <si>
    <t>Comprehensive</t>
  </si>
  <si>
    <t>Compulsory Third Party</t>
  </si>
  <si>
    <t>Third Party Property Damage</t>
  </si>
  <si>
    <t>Third Party Fire and Theft Cover</t>
  </si>
  <si>
    <t>Garage</t>
  </si>
  <si>
    <t>Driveway</t>
  </si>
  <si>
    <t>Street</t>
  </si>
  <si>
    <t>Coupe</t>
  </si>
  <si>
    <t>You Are Quote #</t>
  </si>
  <si>
    <t>Date of Birth</t>
  </si>
  <si>
    <t>Inurance Type</t>
  </si>
  <si>
    <t>NEW APPLICATION</t>
  </si>
  <si>
    <t>Your Age</t>
  </si>
  <si>
    <t>You have successfully logged in. Welcome, admin</t>
  </si>
  <si>
    <t>Premium</t>
  </si>
  <si>
    <t>Year</t>
  </si>
  <si>
    <t>Y</t>
  </si>
  <si>
    <t>Today</t>
  </si>
  <si>
    <t>Month</t>
  </si>
  <si>
    <t>Day</t>
  </si>
  <si>
    <t>Parking Spot</t>
  </si>
  <si>
    <t>Odometer Reading</t>
  </si>
  <si>
    <t>NSW</t>
  </si>
  <si>
    <t>QLD</t>
  </si>
  <si>
    <t>VIC</t>
  </si>
  <si>
    <t>SA</t>
  </si>
  <si>
    <t>WA</t>
  </si>
  <si>
    <t>NT</t>
  </si>
  <si>
    <t>TAS</t>
  </si>
  <si>
    <t>ACT</t>
  </si>
  <si>
    <t>Joe</t>
  </si>
  <si>
    <t>Bloggs</t>
  </si>
  <si>
    <t>2 High St</t>
  </si>
  <si>
    <t>Chatswood</t>
  </si>
  <si>
    <t>FDS977</t>
  </si>
  <si>
    <t>Andrew</t>
  </si>
  <si>
    <t>Horton</t>
  </si>
  <si>
    <t>FU6969</t>
  </si>
  <si>
    <t>17 Epping Dr</t>
  </si>
  <si>
    <t>French</t>
  </si>
  <si>
    <t>Corben</t>
  </si>
  <si>
    <t>Sam</t>
  </si>
  <si>
    <t>Stephens</t>
  </si>
  <si>
    <t>VDM7GH</t>
  </si>
  <si>
    <t>31 Anderson St</t>
  </si>
  <si>
    <t>Jubian</t>
  </si>
  <si>
    <t>69SIX9</t>
  </si>
  <si>
    <t>9 Low Dr</t>
  </si>
  <si>
    <t>Matthew</t>
  </si>
  <si>
    <t>Crotty</t>
  </si>
  <si>
    <t>69 Thot Ave</t>
  </si>
  <si>
    <t>Pinball</t>
  </si>
  <si>
    <t>URG2B8</t>
  </si>
  <si>
    <t>2A Help St</t>
  </si>
  <si>
    <t>Christian</t>
  </si>
  <si>
    <t>Maiorana</t>
  </si>
  <si>
    <t>VD7H89</t>
  </si>
  <si>
    <t>2/13 Innocent Blvd</t>
  </si>
  <si>
    <t>Vinewood Hills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</si>
</sst>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rgb="FF0070C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36"/>
      <color theme="1"/>
      <name val="Vladimir Script"/>
      <family val="4"/>
    </font>
    <font>
      <sz val="16"/>
      <color theme="4" tint="-0.499984740745262"/>
      <name val="Calibri"/>
      <family val="2"/>
      <scheme val="minor"/>
    </font>
    <font>
      <sz val="18"/>
      <color theme="1"/>
      <name val="Arial Black"/>
      <family val="2"/>
    </font>
    <font>
      <b/>
      <sz val="11"/>
      <color theme="4" tint="-0.249977111117893"/>
      <name val="Calibri"/>
      <family val="2"/>
      <scheme val="minor"/>
    </font>
    <font>
      <b/>
      <u/>
      <sz val="18"/>
      <color theme="1"/>
      <name val="Arial Black"/>
      <family val="2"/>
    </font>
    <font>
      <b/>
      <sz val="11"/>
      <color theme="7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theme="4" tint="-0.249977111117893"/>
      <name val="Arial Black"/>
      <family val="2"/>
    </font>
    <font>
      <b/>
      <u/>
      <sz val="16"/>
      <color theme="1"/>
      <name val="Berlin Sans FB Demi"/>
      <family val="2"/>
    </font>
    <font>
      <b/>
      <sz val="11"/>
      <color theme="4" tint="0.5999938962981048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3366FF"/>
      <name val="Calibri"/>
      <family val="2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39FF3"/>
        <bgColor indexed="64"/>
      </patternFill>
    </fill>
    <fill>
      <patternFill patternType="solid">
        <fgColor rgb="FFCA8AFA"/>
        <bgColor indexed="64"/>
      </patternFill>
    </fill>
    <fill>
      <patternFill patternType="solid">
        <fgColor rgb="FFA7D97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1A2B9"/>
        <bgColor indexed="64"/>
      </patternFill>
    </fill>
    <fill>
      <patternFill patternType="solid">
        <fgColor rgb="FFBDD7EE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9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5" borderId="0" xfId="0" applyFill="1"/>
    <xf numFmtId="0" fontId="1" fillId="5" borderId="0" xfId="0" applyFont="1" applyFill="1"/>
    <xf numFmtId="0" fontId="4" fillId="5" borderId="0" xfId="0" applyFont="1" applyFill="1"/>
    <xf numFmtId="0" fontId="2" fillId="5" borderId="0" xfId="0" applyFont="1" applyFill="1"/>
    <xf numFmtId="0" fontId="6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2" borderId="2" xfId="0" applyFill="1" applyBorder="1"/>
    <xf numFmtId="14" fontId="0" fillId="2" borderId="2" xfId="0" applyNumberFormat="1" applyFill="1" applyBorder="1"/>
    <xf numFmtId="0" fontId="0" fillId="5" borderId="2" xfId="0" applyFill="1" applyBorder="1"/>
    <xf numFmtId="0" fontId="0" fillId="9" borderId="2" xfId="0" applyFill="1" applyBorder="1"/>
    <xf numFmtId="44" fontId="0" fillId="4" borderId="1" xfId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10" borderId="2" xfId="0" applyFill="1" applyBorder="1"/>
    <xf numFmtId="0" fontId="0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7" fillId="10" borderId="1" xfId="0" applyFont="1" applyFill="1" applyBorder="1" applyAlignment="1">
      <alignment horizontal="center"/>
    </xf>
    <xf numFmtId="44" fontId="0" fillId="10" borderId="1" xfId="1" applyFont="1" applyFill="1" applyBorder="1" applyAlignment="1">
      <alignment horizontal="center"/>
    </xf>
    <xf numFmtId="0" fontId="3" fillId="3" borderId="0" xfId="0" applyFont="1" applyFill="1" applyBorder="1"/>
    <xf numFmtId="0" fontId="0" fillId="3" borderId="0" xfId="0" applyFill="1" applyBorder="1"/>
    <xf numFmtId="0" fontId="0" fillId="6" borderId="2" xfId="0" applyFill="1" applyBorder="1"/>
    <xf numFmtId="0" fontId="0" fillId="6" borderId="4" xfId="0" applyFill="1" applyBorder="1"/>
    <xf numFmtId="0" fontId="3" fillId="6" borderId="7" xfId="0" applyFont="1" applyFill="1" applyBorder="1"/>
    <xf numFmtId="0" fontId="0" fillId="6" borderId="8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3" fillId="7" borderId="4" xfId="0" applyFont="1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3" fillId="11" borderId="4" xfId="0" applyFont="1" applyFill="1" applyBorder="1"/>
    <xf numFmtId="0" fontId="0" fillId="11" borderId="6" xfId="0" applyFill="1" applyBorder="1"/>
    <xf numFmtId="0" fontId="0" fillId="11" borderId="9" xfId="0" applyFill="1" applyBorder="1"/>
    <xf numFmtId="0" fontId="0" fillId="11" borderId="11" xfId="0" applyFill="1" applyBorder="1"/>
    <xf numFmtId="0" fontId="3" fillId="9" borderId="4" xfId="0" applyFont="1" applyFill="1" applyBorder="1"/>
    <xf numFmtId="0" fontId="0" fillId="9" borderId="6" xfId="0" applyFill="1" applyBorder="1"/>
    <xf numFmtId="0" fontId="3" fillId="9" borderId="9" xfId="0" applyFont="1" applyFill="1" applyBorder="1"/>
    <xf numFmtId="0" fontId="0" fillId="9" borderId="11" xfId="0" applyFill="1" applyBorder="1"/>
    <xf numFmtId="0" fontId="0" fillId="3" borderId="0" xfId="0" applyFill="1" applyAlignment="1">
      <alignment horizontal="left"/>
    </xf>
    <xf numFmtId="14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12" borderId="12" xfId="0" applyNumberFormat="1" applyFill="1" applyBorder="1" applyAlignment="1">
      <alignment horizontal="center"/>
    </xf>
    <xf numFmtId="0" fontId="0" fillId="12" borderId="13" xfId="0" applyNumberFormat="1" applyFill="1" applyBorder="1" applyAlignment="1">
      <alignment horizontal="center"/>
    </xf>
    <xf numFmtId="0" fontId="0" fillId="12" borderId="14" xfId="0" applyNumberFormat="1" applyFill="1" applyBorder="1" applyAlignment="1">
      <alignment horizontal="center"/>
    </xf>
    <xf numFmtId="7" fontId="0" fillId="13" borderId="1" xfId="0" applyNumberFormat="1" applyFont="1" applyFill="1" applyBorder="1" applyAlignment="1">
      <alignment horizontal="left"/>
    </xf>
    <xf numFmtId="14" fontId="0" fillId="12" borderId="13" xfId="0" applyNumberFormat="1" applyFill="1" applyBorder="1" applyAlignment="1">
      <alignment horizontal="center"/>
    </xf>
    <xf numFmtId="0" fontId="0" fillId="5" borderId="1" xfId="0" applyFill="1" applyBorder="1" applyProtection="1">
      <protection locked="0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3" fillId="5" borderId="4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14" fontId="0" fillId="3" borderId="0" xfId="0" applyNumberFormat="1" applyFill="1"/>
    <xf numFmtId="164" fontId="0" fillId="3" borderId="0" xfId="0" applyNumberFormat="1" applyFill="1"/>
    <xf numFmtId="0" fontId="10" fillId="3" borderId="0" xfId="0" applyFont="1" applyFill="1"/>
    <xf numFmtId="0" fontId="0" fillId="3" borderId="0" xfId="0" applyFill="1"/>
    <xf numFmtId="0" fontId="9" fillId="3" borderId="0" xfId="0" applyFont="1" applyFill="1" applyBorder="1"/>
    <xf numFmtId="0" fontId="0" fillId="3" borderId="0" xfId="0" applyFill="1"/>
    <xf numFmtId="0" fontId="3" fillId="3" borderId="0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164" fontId="0" fillId="0" borderId="2" xfId="0" applyNumberFormat="1" applyBorder="1"/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3" fillId="14" borderId="12" xfId="0" applyFont="1" applyFill="1" applyBorder="1"/>
    <xf numFmtId="0" fontId="3" fillId="14" borderId="3" xfId="0" applyFont="1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1" xfId="0" applyFill="1" applyBorder="1"/>
    <xf numFmtId="0" fontId="3" fillId="4" borderId="12" xfId="0" applyFont="1" applyFill="1" applyBorder="1"/>
    <xf numFmtId="0" fontId="3" fillId="4" borderId="3" xfId="0" applyFont="1" applyFill="1" applyBorder="1"/>
    <xf numFmtId="0" fontId="0" fillId="4" borderId="19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1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1" xfId="0" applyFill="1" applyBorder="1"/>
    <xf numFmtId="0" fontId="3" fillId="16" borderId="12" xfId="0" applyFont="1" applyFill="1" applyBorder="1"/>
    <xf numFmtId="0" fontId="3" fillId="16" borderId="3" xfId="0" applyFont="1" applyFill="1" applyBorder="1"/>
    <xf numFmtId="0" fontId="0" fillId="16" borderId="18" xfId="0" applyFill="1" applyBorder="1"/>
    <xf numFmtId="0" fontId="0" fillId="16" borderId="19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9" xfId="0" applyFill="1" applyBorder="1"/>
    <xf numFmtId="0" fontId="0" fillId="16" borderId="11" xfId="0" applyFill="1" applyBorder="1"/>
    <xf numFmtId="0" fontId="0" fillId="4" borderId="18" xfId="0" applyFont="1" applyFill="1" applyBorder="1"/>
    <xf numFmtId="0" fontId="3" fillId="3" borderId="0" xfId="0" applyFont="1" applyFill="1" applyAlignment="1">
      <alignment horizontal="left"/>
    </xf>
    <xf numFmtId="0" fontId="14" fillId="3" borderId="0" xfId="0" applyFont="1" applyFill="1" applyAlignment="1">
      <alignment horizontal="left" vertical="center"/>
    </xf>
    <xf numFmtId="0" fontId="16" fillId="3" borderId="0" xfId="0" applyFont="1" applyFill="1" applyBorder="1"/>
    <xf numFmtId="0" fontId="16" fillId="3" borderId="0" xfId="0" applyFont="1" applyFill="1"/>
    <xf numFmtId="0" fontId="17" fillId="3" borderId="0" xfId="0" applyFont="1" applyFill="1" applyBorder="1"/>
    <xf numFmtId="0" fontId="13" fillId="3" borderId="0" xfId="0" applyFont="1" applyFill="1" applyAlignment="1">
      <alignment vertical="center"/>
    </xf>
    <xf numFmtId="0" fontId="15" fillId="3" borderId="0" xfId="0" applyFont="1" applyFill="1" applyAlignment="1">
      <alignment horizontal="left"/>
    </xf>
    <xf numFmtId="0" fontId="0" fillId="3" borderId="0" xfId="0" applyFill="1"/>
    <xf numFmtId="0" fontId="0" fillId="3" borderId="0" xfId="0" applyFill="1"/>
    <xf numFmtId="0" fontId="0" fillId="3" borderId="0" xfId="0" applyFill="1"/>
    <xf numFmtId="0" fontId="18" fillId="2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center"/>
    </xf>
    <xf numFmtId="164" fontId="0" fillId="13" borderId="14" xfId="0" applyNumberForma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left"/>
    </xf>
    <xf numFmtId="0" fontId="21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0" fillId="17" borderId="1" xfId="0" applyFill="1" applyBorder="1" applyAlignment="1" applyProtection="1">
      <alignment horizontal="left"/>
      <protection locked="0"/>
    </xf>
    <xf numFmtId="14" fontId="0" fillId="17" borderId="1" xfId="0" applyNumberFormat="1" applyFill="1" applyBorder="1" applyAlignment="1" applyProtection="1">
      <alignment horizontal="left"/>
      <protection locked="0"/>
    </xf>
    <xf numFmtId="0" fontId="0" fillId="17" borderId="1" xfId="0" applyFill="1" applyBorder="1"/>
    <xf numFmtId="0" fontId="3" fillId="3" borderId="0" xfId="0" applyFont="1" applyFill="1" applyAlignment="1">
      <alignment horizontal="center"/>
    </xf>
    <xf numFmtId="1" fontId="0" fillId="6" borderId="20" xfId="0" applyNumberFormat="1" applyFill="1" applyBorder="1" applyAlignment="1">
      <alignment horizontal="center"/>
    </xf>
    <xf numFmtId="0" fontId="0" fillId="10" borderId="1" xfId="0" applyFill="1" applyBorder="1"/>
    <xf numFmtId="0" fontId="0" fillId="6" borderId="2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4" fontId="0" fillId="18" borderId="20" xfId="1" applyFont="1" applyFill="1" applyBorder="1" applyAlignment="1">
      <alignment horizontal="center"/>
    </xf>
    <xf numFmtId="44" fontId="8" fillId="5" borderId="1" xfId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3" fillId="0" borderId="0" xfId="0" applyFont="1"/>
    <xf numFmtId="0" fontId="0" fillId="22" borderId="4" xfId="0" applyFill="1" applyBorder="1"/>
    <xf numFmtId="0" fontId="3" fillId="22" borderId="5" xfId="0" applyFont="1" applyFill="1" applyBorder="1"/>
    <xf numFmtId="0" fontId="3" fillId="22" borderId="6" xfId="0" applyFont="1" applyFill="1" applyBorder="1"/>
    <xf numFmtId="0" fontId="3" fillId="22" borderId="7" xfId="0" applyFont="1" applyFill="1" applyBorder="1"/>
    <xf numFmtId="0" fontId="0" fillId="22" borderId="2" xfId="0" applyFill="1" applyBorder="1"/>
    <xf numFmtId="0" fontId="0" fillId="22" borderId="8" xfId="0" applyFill="1" applyBorder="1"/>
    <xf numFmtId="0" fontId="0" fillId="22" borderId="7" xfId="0" applyFill="1" applyBorder="1"/>
    <xf numFmtId="0" fontId="0" fillId="22" borderId="9" xfId="0" applyFill="1" applyBorder="1"/>
    <xf numFmtId="0" fontId="0" fillId="22" borderId="10" xfId="0" applyFill="1" applyBorder="1"/>
    <xf numFmtId="0" fontId="0" fillId="22" borderId="11" xfId="0" applyFill="1" applyBorder="1"/>
    <xf numFmtId="0" fontId="0" fillId="3" borderId="0" xfId="0" applyFill="1"/>
    <xf numFmtId="0" fontId="0" fillId="10" borderId="21" xfId="0" applyFill="1" applyBorder="1"/>
    <xf numFmtId="0" fontId="0" fillId="10" borderId="22" xfId="0" applyFill="1" applyBorder="1"/>
    <xf numFmtId="0" fontId="0" fillId="11" borderId="1" xfId="0" applyFill="1" applyBorder="1" applyAlignment="1">
      <alignment horizontal="center"/>
    </xf>
    <xf numFmtId="44" fontId="0" fillId="8" borderId="1" xfId="0" applyNumberForma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44" fontId="0" fillId="7" borderId="1" xfId="0" applyNumberForma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44" fontId="0" fillId="19" borderId="1" xfId="0" applyNumberForma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44" fontId="0" fillId="22" borderId="1" xfId="0" applyNumberFormat="1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44" fontId="0" fillId="24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0" fillId="17" borderId="1" xfId="0" applyFill="1" applyBorder="1" applyAlignment="1">
      <alignment horizontal="left"/>
    </xf>
    <xf numFmtId="0" fontId="0" fillId="15" borderId="4" xfId="0" applyFill="1" applyBorder="1"/>
    <xf numFmtId="0" fontId="0" fillId="15" borderId="6" xfId="0" applyFill="1" applyBorder="1"/>
    <xf numFmtId="0" fontId="3" fillId="15" borderId="23" xfId="0" applyFont="1" applyFill="1" applyBorder="1"/>
    <xf numFmtId="0" fontId="3" fillId="15" borderId="24" xfId="0" applyFont="1" applyFill="1" applyBorder="1"/>
    <xf numFmtId="0" fontId="3" fillId="14" borderId="4" xfId="0" applyFont="1" applyFill="1" applyBorder="1"/>
    <xf numFmtId="0" fontId="3" fillId="14" borderId="6" xfId="0" applyFont="1" applyFill="1" applyBorder="1"/>
    <xf numFmtId="44" fontId="0" fillId="13" borderId="1" xfId="0" applyNumberFormat="1" applyFont="1" applyFill="1" applyBorder="1" applyAlignment="1">
      <alignment horizontal="center"/>
    </xf>
    <xf numFmtId="0" fontId="0" fillId="25" borderId="21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44" fontId="0" fillId="26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3" borderId="0" xfId="0" applyFill="1"/>
    <xf numFmtId="14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Fill="1" applyAlignment="1"/>
    <xf numFmtId="0" fontId="0" fillId="2" borderId="1" xfId="0" applyFill="1" applyBorder="1" applyProtection="1">
      <protection locked="0"/>
    </xf>
    <xf numFmtId="0" fontId="11" fillId="5" borderId="0" xfId="0" applyFont="1" applyFill="1" applyAlignment="1">
      <alignment horizontal="center"/>
    </xf>
    <xf numFmtId="0" fontId="0" fillId="3" borderId="0" xfId="0" applyFill="1" applyAlignment="1">
      <alignment horizontal="left" wrapText="1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3" fillId="0" borderId="15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" fontId="0" fillId="27" borderId="1" xfId="0" applyNumberForma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91A2B9"/>
      <color rgb="FFA7D971"/>
      <color rgb="FFC39FF3"/>
      <color rgb="FFCA8AFA"/>
      <color rgb="FFB964F8"/>
      <color rgb="FFFFB3B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</c:f>
              <c:strCache>
                <c:ptCount val="1"/>
                <c:pt idx="0">
                  <c:v>Total Premiums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966-4B71-B243-25CFF3C9D3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Analysis!$B$3:$B$4</c:f>
              <c:numCache>
                <c:formatCode>"$"#,##0.00</c:formatCode>
                <c:ptCount val="2"/>
                <c:pt idx="0">
                  <c:v>17070</c:v>
                </c:pt>
                <c:pt idx="1">
                  <c:v>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66-4B71-B243-25CFF3C9D3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5707640"/>
        <c:axId val="585709936"/>
      </c:barChart>
      <c:catAx>
        <c:axId val="585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09936"/>
        <c:crosses val="autoZero"/>
        <c:auto val="1"/>
        <c:lblAlgn val="ctr"/>
        <c:lblOffset val="100"/>
        <c:noMultiLvlLbl val="0"/>
      </c:catAx>
      <c:valAx>
        <c:axId val="58570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Analysis!$C$2</c:f>
              <c:strCache>
                <c:ptCount val="1"/>
                <c:pt idx="0">
                  <c:v>Number of Quotes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87-4AE8-BFA1-30EEC2399E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Analysis!$C$3:$C$4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7-4AE8-BFA1-30EEC2399E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777584"/>
        <c:axId val="576782504"/>
      </c:barChart>
      <c:catAx>
        <c:axId val="57677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2504"/>
        <c:crosses val="autoZero"/>
        <c:auto val="1"/>
        <c:lblAlgn val="ctr"/>
        <c:lblOffset val="100"/>
        <c:noMultiLvlLbl val="0"/>
      </c:catAx>
      <c:valAx>
        <c:axId val="57678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7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Analysis!$D$2</c:f>
              <c:strCache>
                <c:ptCount val="1"/>
                <c:pt idx="0">
                  <c:v>Average Premium by Gender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8D2-4401-A2DB-FDCB833B9D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Analysis!$A$3:$A$4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Analysis!$D$3:$D$4</c:f>
              <c:numCache>
                <c:formatCode>"$"#,##0.00</c:formatCode>
                <c:ptCount val="2"/>
                <c:pt idx="0">
                  <c:v>2845</c:v>
                </c:pt>
                <c:pt idx="1">
                  <c:v>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2-4401-A2DB-FDCB833B9D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3379184"/>
        <c:axId val="413379512"/>
      </c:barChart>
      <c:catAx>
        <c:axId val="41337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79512"/>
        <c:crosses val="autoZero"/>
        <c:auto val="1"/>
        <c:lblAlgn val="ctr"/>
        <c:lblOffset val="100"/>
        <c:noMultiLvlLbl val="0"/>
      </c:catAx>
      <c:valAx>
        <c:axId val="41337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7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661988</xdr:colOff>
          <xdr:row>11</xdr:row>
          <xdr:rowOff>4763</xdr:rowOff>
        </xdr:from>
        <xdr:to>
          <xdr:col>2</xdr:col>
          <xdr:colOff>1300163</xdr:colOff>
          <xdr:row>12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11</xdr:row>
          <xdr:rowOff>4763</xdr:rowOff>
        </xdr:from>
        <xdr:to>
          <xdr:col>2</xdr:col>
          <xdr:colOff>2057400</xdr:colOff>
          <xdr:row>12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52389</xdr:colOff>
      <xdr:row>0</xdr:row>
      <xdr:rowOff>38100</xdr:rowOff>
    </xdr:from>
    <xdr:to>
      <xdr:col>1</xdr:col>
      <xdr:colOff>623328</xdr:colOff>
      <xdr:row>2</xdr:row>
      <xdr:rowOff>152400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9" y="38100"/>
          <a:ext cx="1218639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38100</xdr:rowOff>
        </xdr:from>
        <xdr:to>
          <xdr:col>10</xdr:col>
          <xdr:colOff>576263</xdr:colOff>
          <xdr:row>13</xdr:row>
          <xdr:rowOff>119063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13</xdr:row>
          <xdr:rowOff>176213</xdr:rowOff>
        </xdr:from>
        <xdr:to>
          <xdr:col>10</xdr:col>
          <xdr:colOff>576263</xdr:colOff>
          <xdr:row>16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Datastore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16</xdr:row>
          <xdr:rowOff>133350</xdr:rowOff>
        </xdr:from>
        <xdr:to>
          <xdr:col>10</xdr:col>
          <xdr:colOff>576263</xdr:colOff>
          <xdr:row>19</xdr:row>
          <xdr:rowOff>33338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Lookup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20</xdr:row>
          <xdr:rowOff>109538</xdr:rowOff>
        </xdr:from>
        <xdr:to>
          <xdr:col>10</xdr:col>
          <xdr:colOff>571500</xdr:colOff>
          <xdr:row>23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47625</xdr:rowOff>
        </xdr:from>
        <xdr:to>
          <xdr:col>10</xdr:col>
          <xdr:colOff>576263</xdr:colOff>
          <xdr:row>13</xdr:row>
          <xdr:rowOff>128588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15</xdr:row>
          <xdr:rowOff>100013</xdr:rowOff>
        </xdr:from>
        <xdr:to>
          <xdr:col>10</xdr:col>
          <xdr:colOff>576263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76200</xdr:rowOff>
        </xdr:from>
        <xdr:to>
          <xdr:col>10</xdr:col>
          <xdr:colOff>581025</xdr:colOff>
          <xdr:row>10</xdr:row>
          <xdr:rowOff>157163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11</xdr:row>
          <xdr:rowOff>47625</xdr:rowOff>
        </xdr:from>
        <xdr:to>
          <xdr:col>10</xdr:col>
          <xdr:colOff>576263</xdr:colOff>
          <xdr:row>13</xdr:row>
          <xdr:rowOff>128588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15</xdr:row>
          <xdr:rowOff>100013</xdr:rowOff>
        </xdr:from>
        <xdr:to>
          <xdr:col>10</xdr:col>
          <xdr:colOff>576263</xdr:colOff>
          <xdr:row>18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19</xdr:row>
          <xdr:rowOff>14288</xdr:rowOff>
        </xdr:from>
        <xdr:to>
          <xdr:col>9</xdr:col>
          <xdr:colOff>1800225</xdr:colOff>
          <xdr:row>20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452438</xdr:colOff>
          <xdr:row>25</xdr:row>
          <xdr:rowOff>61913</xdr:rowOff>
        </xdr:from>
        <xdr:to>
          <xdr:col>9</xdr:col>
          <xdr:colOff>1547813</xdr:colOff>
          <xdr:row>26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52387</xdr:colOff>
      <xdr:row>0</xdr:row>
      <xdr:rowOff>38100</xdr:rowOff>
    </xdr:from>
    <xdr:to>
      <xdr:col>1</xdr:col>
      <xdr:colOff>875738</xdr:colOff>
      <xdr:row>2</xdr:row>
      <xdr:rowOff>152400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" y="38100"/>
          <a:ext cx="1218639" cy="476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22</xdr:row>
          <xdr:rowOff>180975</xdr:rowOff>
        </xdr:from>
        <xdr:to>
          <xdr:col>9</xdr:col>
          <xdr:colOff>1719263</xdr:colOff>
          <xdr:row>24</xdr:row>
          <xdr:rowOff>147638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QUOTE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8</xdr:row>
      <xdr:rowOff>166687</xdr:rowOff>
    </xdr:from>
    <xdr:to>
      <xdr:col>6</xdr:col>
      <xdr:colOff>376238</xdr:colOff>
      <xdr:row>16</xdr:row>
      <xdr:rowOff>12426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62062"/>
          <a:ext cx="3309938" cy="12935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719138</xdr:colOff>
          <xdr:row>4</xdr:row>
          <xdr:rowOff>114300</xdr:rowOff>
        </xdr:from>
        <xdr:to>
          <xdr:col>2</xdr:col>
          <xdr:colOff>209550</xdr:colOff>
          <xdr:row>6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319088</xdr:colOff>
          <xdr:row>4</xdr:row>
          <xdr:rowOff>114300</xdr:rowOff>
        </xdr:from>
        <xdr:to>
          <xdr:col>4</xdr:col>
          <xdr:colOff>95250</xdr:colOff>
          <xdr:row>6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4</xdr:row>
          <xdr:rowOff>123825</xdr:rowOff>
        </xdr:from>
        <xdr:to>
          <xdr:col>6</xdr:col>
          <xdr:colOff>390525</xdr:colOff>
          <xdr:row>6</xdr:row>
          <xdr:rowOff>47625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6</xdr:row>
          <xdr:rowOff>128588</xdr:rowOff>
        </xdr:from>
        <xdr:to>
          <xdr:col>6</xdr:col>
          <xdr:colOff>600075</xdr:colOff>
          <xdr:row>8</xdr:row>
          <xdr:rowOff>104775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30956</xdr:colOff>
      <xdr:row>5</xdr:row>
      <xdr:rowOff>40484</xdr:rowOff>
    </xdr:from>
    <xdr:to>
      <xdr:col>7</xdr:col>
      <xdr:colOff>69056</xdr:colOff>
      <xdr:row>20</xdr:row>
      <xdr:rowOff>69059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30956</xdr:colOff>
      <xdr:row>20</xdr:row>
      <xdr:rowOff>150021</xdr:rowOff>
    </xdr:from>
    <xdr:to>
      <xdr:col>7</xdr:col>
      <xdr:colOff>69056</xdr:colOff>
      <xdr:row>35</xdr:row>
      <xdr:rowOff>178596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35719</xdr:colOff>
      <xdr:row>36</xdr:row>
      <xdr:rowOff>92871</xdr:rowOff>
    </xdr:from>
    <xdr:to>
      <xdr:col>7</xdr:col>
      <xdr:colOff>73819</xdr:colOff>
      <xdr:row>51</xdr:row>
      <xdr:rowOff>121446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H14"/>
  <sheetViews>
    <sheetView showGridLines="0" workbookViewId="0">
      <selection activeCell="C10" sqref="C10"/>
    </sheetView>
  </sheetViews>
  <sheetFormatPr defaultRowHeight="14.25" x14ac:dyDescent="0.45"/>
  <cols>
    <col min="1" max="1" width="9.06640625" style="126" customWidth="1"/>
    <col min="2" max="2" width="11.265625" style="126" customWidth="1"/>
    <col min="3" max="3" width="39" style="126" customWidth="1"/>
    <col min="4" max="6" width="9.06640625" style="126"/>
    <col min="7" max="8" width="0" style="126" hidden="1" customWidth="1"/>
    <col min="9" max="16384" width="9.06640625" style="126"/>
  </cols>
  <sheetData>
    <row r="2" spans="2:8" x14ac:dyDescent="0.45">
      <c r="C2" s="25"/>
    </row>
    <row r="4" spans="2:8" ht="27.75" x14ac:dyDescent="1.05">
      <c r="C4" s="79" t="s">
        <v>42</v>
      </c>
    </row>
    <row r="6" spans="2:8" x14ac:dyDescent="0.45">
      <c r="C6" s="78" t="s">
        <v>67</v>
      </c>
    </row>
    <row r="7" spans="2:8" ht="14.65" thickBot="1" x14ac:dyDescent="0.5"/>
    <row r="8" spans="2:8" ht="14.65" thickBot="1" x14ac:dyDescent="0.5">
      <c r="B8" s="5" t="s">
        <v>40</v>
      </c>
      <c r="C8" s="61" t="s">
        <v>23</v>
      </c>
    </row>
    <row r="9" spans="2:8" ht="14.65" thickBot="1" x14ac:dyDescent="0.5">
      <c r="G9" s="126" t="str">
        <f>VLOOKUP(username, loginLU, 2,FALSE)</f>
        <v>admin</v>
      </c>
      <c r="H9" s="126" t="str">
        <f>VLOOKUP(username, loginLU, 3, FALSE)</f>
        <v>admin</v>
      </c>
    </row>
    <row r="10" spans="2:8" ht="14.65" thickBot="1" x14ac:dyDescent="0.5">
      <c r="B10" s="5" t="s">
        <v>41</v>
      </c>
      <c r="C10" s="61" t="s">
        <v>23</v>
      </c>
    </row>
    <row r="11" spans="2:8" x14ac:dyDescent="0.45">
      <c r="G11" s="126" t="str">
        <f>IF(ISNA(G9),"NOK",IF(password=G9,"OK","NOK"))</f>
        <v>OK</v>
      </c>
    </row>
    <row r="12" spans="2:8" x14ac:dyDescent="0.45">
      <c r="C12" s="76" t="str">
        <f>H9</f>
        <v>admin</v>
      </c>
    </row>
    <row r="13" spans="2:8" x14ac:dyDescent="0.45">
      <c r="C13" s="25"/>
    </row>
    <row r="14" spans="2:8" x14ac:dyDescent="0.45">
      <c r="C14" s="76" t="s">
        <v>70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ogin_btn">
                <anchor moveWithCells="1" sizeWithCells="1">
                  <from>
                    <xdr:col>2</xdr:col>
                    <xdr:colOff>661988</xdr:colOff>
                    <xdr:row>11</xdr:row>
                    <xdr:rowOff>4763</xdr:rowOff>
                  </from>
                  <to>
                    <xdr:col>2</xdr:col>
                    <xdr:colOff>1300163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gout_btn">
                <anchor moveWithCells="1" sizeWithCells="1">
                  <from>
                    <xdr:col>2</xdr:col>
                    <xdr:colOff>1428750</xdr:colOff>
                    <xdr:row>11</xdr:row>
                    <xdr:rowOff>4763</xdr:rowOff>
                  </from>
                  <to>
                    <xdr:col>2</xdr:col>
                    <xdr:colOff>2057400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F4:N13"/>
  <sheetViews>
    <sheetView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4" ht="36" x14ac:dyDescent="1.05">
      <c r="F4" s="7"/>
    </row>
    <row r="7" spans="6:14" ht="21" x14ac:dyDescent="0.65">
      <c r="F7" s="191" t="s">
        <v>37</v>
      </c>
      <c r="G7" s="191"/>
      <c r="H7" s="191"/>
      <c r="I7" s="191"/>
      <c r="J7" s="191"/>
      <c r="K7" s="191"/>
      <c r="L7" s="191"/>
      <c r="M7" s="191"/>
      <c r="N7" s="191"/>
    </row>
    <row r="8" spans="6:14" ht="46.15" x14ac:dyDescent="1.35">
      <c r="I8" s="8"/>
      <c r="J8" s="10" t="s">
        <v>38</v>
      </c>
    </row>
    <row r="13" spans="6:14" x14ac:dyDescent="0.45">
      <c r="I13" s="9"/>
    </row>
  </sheetData>
  <mergeCells count="1">
    <mergeCell ref="F7:N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38100</xdr:rowOff>
                  </from>
                  <to>
                    <xdr:col>10</xdr:col>
                    <xdr:colOff>576263</xdr:colOff>
                    <xdr:row>13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otoDatastore">
                <anchor moveWithCells="1" sizeWithCells="1">
                  <from>
                    <xdr:col>8</xdr:col>
                    <xdr:colOff>61913</xdr:colOff>
                    <xdr:row>13</xdr:row>
                    <xdr:rowOff>176213</xdr:rowOff>
                  </from>
                  <to>
                    <xdr:col>10</xdr:col>
                    <xdr:colOff>576263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gotoLookup">
                <anchor moveWithCells="1" sizeWithCells="1">
                  <from>
                    <xdr:col>8</xdr:col>
                    <xdr:colOff>61913</xdr:colOff>
                    <xdr:row>16</xdr:row>
                    <xdr:rowOff>133350</xdr:rowOff>
                  </from>
                  <to>
                    <xdr:col>10</xdr:col>
                    <xdr:colOff>576263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otoLoginAndLogout">
                <anchor moveWithCells="1" sizeWithCells="1">
                  <from>
                    <xdr:col>8</xdr:col>
                    <xdr:colOff>57150</xdr:colOff>
                    <xdr:row>20</xdr:row>
                    <xdr:rowOff>109538</xdr:rowOff>
                  </from>
                  <to>
                    <xdr:col>10</xdr:col>
                    <xdr:colOff>571500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4:J13"/>
  <sheetViews>
    <sheetView showGridLines="0"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0" ht="36" x14ac:dyDescent="1.05">
      <c r="F4" s="7"/>
    </row>
    <row r="7" spans="6:10" ht="21" x14ac:dyDescent="0.65">
      <c r="J7" s="128" t="s">
        <v>39</v>
      </c>
    </row>
    <row r="8" spans="6:10" ht="46.15" x14ac:dyDescent="1.35">
      <c r="I8" s="8"/>
      <c r="J8" s="10" t="s">
        <v>0</v>
      </c>
    </row>
    <row r="13" spans="6:10" x14ac:dyDescent="0.45">
      <c r="I13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47625</xdr:rowOff>
                  </from>
                  <to>
                    <xdr:col>10</xdr:col>
                    <xdr:colOff>576263</xdr:colOff>
                    <xdr:row>13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gotoLoginAndLogout">
                <anchor moveWithCells="1" sizeWithCells="1">
                  <from>
                    <xdr:col>8</xdr:col>
                    <xdr:colOff>61913</xdr:colOff>
                    <xdr:row>15</xdr:row>
                    <xdr:rowOff>100013</xdr:rowOff>
                  </from>
                  <to>
                    <xdr:col>10</xdr:col>
                    <xdr:colOff>576263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F4:J13"/>
  <sheetViews>
    <sheetView workbookViewId="0">
      <selection activeCell="J10" sqref="J10"/>
    </sheetView>
  </sheetViews>
  <sheetFormatPr defaultRowHeight="14.25" x14ac:dyDescent="0.45"/>
  <cols>
    <col min="1" max="16384" width="9.06640625" style="6"/>
  </cols>
  <sheetData>
    <row r="4" spans="6:10" ht="36" x14ac:dyDescent="1.05">
      <c r="F4" s="7"/>
    </row>
    <row r="7" spans="6:10" ht="21" x14ac:dyDescent="0.65">
      <c r="J7" s="128"/>
    </row>
    <row r="8" spans="6:10" ht="46.15" x14ac:dyDescent="1.35">
      <c r="I8" s="8"/>
      <c r="J8" s="10" t="s">
        <v>0</v>
      </c>
    </row>
    <row r="13" spans="6:10" x14ac:dyDescent="0.45">
      <c r="I13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put_btn">
                <anchor moveWithCells="1" sizeWithCells="1">
                  <from>
                    <xdr:col>8</xdr:col>
                    <xdr:colOff>66675</xdr:colOff>
                    <xdr:row>8</xdr:row>
                    <xdr:rowOff>76200</xdr:rowOff>
                  </from>
                  <to>
                    <xdr:col>10</xdr:col>
                    <xdr:colOff>581025</xdr:colOff>
                    <xdr:row>10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gotoQuoteSummary">
                <anchor moveWithCells="1" sizeWithCells="1">
                  <from>
                    <xdr:col>8</xdr:col>
                    <xdr:colOff>61913</xdr:colOff>
                    <xdr:row>11</xdr:row>
                    <xdr:rowOff>47625</xdr:rowOff>
                  </from>
                  <to>
                    <xdr:col>10</xdr:col>
                    <xdr:colOff>576263</xdr:colOff>
                    <xdr:row>13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otoLoginAndLogout">
                <anchor moveWithCells="1" sizeWithCells="1">
                  <from>
                    <xdr:col>8</xdr:col>
                    <xdr:colOff>61913</xdr:colOff>
                    <xdr:row>15</xdr:row>
                    <xdr:rowOff>100013</xdr:rowOff>
                  </from>
                  <to>
                    <xdr:col>10</xdr:col>
                    <xdr:colOff>576263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I59"/>
  <sheetViews>
    <sheetView showGridLines="0" workbookViewId="0">
      <selection activeCell="C6" sqref="C6"/>
    </sheetView>
  </sheetViews>
  <sheetFormatPr defaultRowHeight="14.25" x14ac:dyDescent="0.45"/>
  <cols>
    <col min="1" max="1" width="5.53125" customWidth="1"/>
    <col min="2" max="2" width="16.46484375" customWidth="1"/>
    <col min="3" max="3" width="27.3984375" customWidth="1"/>
    <col min="4" max="5" width="1.33203125" customWidth="1"/>
    <col min="6" max="6" width="14.53125" customWidth="1"/>
    <col min="7" max="7" width="9.265625" customWidth="1"/>
    <col min="8" max="8" width="3.46484375" customWidth="1"/>
    <col min="9" max="9" width="16.46484375" customWidth="1"/>
    <col min="10" max="10" width="27.3984375" customWidth="1"/>
    <col min="11" max="11" width="2.6640625" customWidth="1"/>
    <col min="12" max="13" width="9.06640625" customWidth="1"/>
    <col min="14" max="14" width="10.19921875" customWidth="1"/>
    <col min="15" max="15" width="12.53125" customWidth="1"/>
    <col min="16" max="16" width="10.9296875" customWidth="1"/>
    <col min="17" max="17" width="16.796875" customWidth="1"/>
    <col min="18" max="18" width="24.19921875" customWidth="1"/>
    <col min="19" max="19" width="9.86328125" bestFit="1" customWidth="1"/>
  </cols>
  <sheetData>
    <row r="1" spans="1:35" x14ac:dyDescent="0.4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158"/>
      <c r="AC1" s="158"/>
      <c r="AD1" s="158"/>
      <c r="AE1" s="158"/>
      <c r="AF1" s="158"/>
      <c r="AG1" s="158"/>
      <c r="AH1" s="158"/>
      <c r="AI1" s="158"/>
    </row>
    <row r="2" spans="1:35" x14ac:dyDescent="0.4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158"/>
      <c r="AC2" s="158"/>
      <c r="AD2" s="158"/>
      <c r="AE2" s="158"/>
      <c r="AF2" s="158"/>
      <c r="AG2" s="158"/>
      <c r="AH2" s="158"/>
      <c r="AI2" s="158"/>
    </row>
    <row r="3" spans="1:35" ht="14.65" customHeight="1" x14ac:dyDescent="0.45">
      <c r="A3" s="4"/>
      <c r="B3" s="4"/>
      <c r="C3" s="4"/>
      <c r="D3" s="4"/>
      <c r="E3" s="80"/>
      <c r="F3" s="80"/>
      <c r="G3" s="80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158"/>
      <c r="AC3" s="158"/>
      <c r="AD3" s="158"/>
      <c r="AE3" s="158"/>
      <c r="AF3" s="158"/>
      <c r="AG3" s="158"/>
      <c r="AH3" s="158"/>
      <c r="AI3" s="158"/>
    </row>
    <row r="4" spans="1:35" ht="22.5" customHeight="1" thickBot="1" x14ac:dyDescent="0.5">
      <c r="A4" s="4"/>
      <c r="B4" s="118"/>
      <c r="C4" s="130" t="s">
        <v>65</v>
      </c>
      <c r="D4" s="4"/>
      <c r="E4" s="80"/>
      <c r="F4" s="125"/>
      <c r="G4" s="125"/>
      <c r="H4" s="80"/>
      <c r="I4" s="80"/>
      <c r="J4" s="80"/>
      <c r="K4" s="80"/>
      <c r="L4" s="80"/>
      <c r="M4" s="80"/>
      <c r="N4" s="80"/>
      <c r="O4" s="80"/>
      <c r="P4" s="80"/>
      <c r="Q4" s="4"/>
      <c r="R4" s="4"/>
      <c r="S4" s="11" t="s">
        <v>68</v>
      </c>
      <c r="T4" s="11" t="s">
        <v>14</v>
      </c>
      <c r="U4" s="4"/>
      <c r="V4" s="4"/>
      <c r="W4" s="4"/>
      <c r="X4" s="4"/>
      <c r="Y4" s="4"/>
      <c r="Z4" s="4"/>
      <c r="AA4" s="4"/>
      <c r="AB4" s="4"/>
      <c r="AC4" s="158"/>
      <c r="AD4" s="158"/>
      <c r="AE4" s="158"/>
      <c r="AF4" s="158"/>
      <c r="AG4" s="158"/>
      <c r="AH4" s="158"/>
      <c r="AI4" s="158"/>
    </row>
    <row r="5" spans="1:35" ht="14.65" thickBot="1" x14ac:dyDescent="0.5">
      <c r="A5" s="80"/>
      <c r="B5" s="48"/>
      <c r="C5" s="4"/>
      <c r="D5" s="4"/>
      <c r="E5" s="4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145" t="s">
        <v>8</v>
      </c>
      <c r="R5" s="20"/>
      <c r="S5" s="17">
        <f>Lookup!D2</f>
        <v>500</v>
      </c>
      <c r="T5" s="21"/>
      <c r="U5" s="4"/>
      <c r="V5" s="4"/>
      <c r="W5" s="12"/>
      <c r="X5" s="134" t="s">
        <v>71</v>
      </c>
      <c r="Y5" s="134" t="s">
        <v>69</v>
      </c>
      <c r="Z5" s="134" t="s">
        <v>72</v>
      </c>
      <c r="AA5" s="134" t="s">
        <v>73</v>
      </c>
      <c r="AB5" s="134" t="s">
        <v>12</v>
      </c>
      <c r="AC5" s="158"/>
      <c r="AD5" s="158"/>
      <c r="AE5" s="158"/>
      <c r="AF5" s="158"/>
      <c r="AG5" s="158"/>
      <c r="AH5" s="158"/>
      <c r="AI5" s="158"/>
    </row>
    <row r="6" spans="1:35" ht="14.65" thickBot="1" x14ac:dyDescent="0.5">
      <c r="A6" s="80"/>
      <c r="B6" s="117" t="s">
        <v>3</v>
      </c>
      <c r="C6" s="135"/>
      <c r="D6" s="4"/>
      <c r="E6" s="4"/>
      <c r="F6" s="119"/>
      <c r="G6" s="80"/>
      <c r="H6" s="80"/>
      <c r="I6" s="117" t="s">
        <v>1</v>
      </c>
      <c r="J6" s="135"/>
      <c r="K6" s="4"/>
      <c r="L6" s="119"/>
      <c r="M6" s="80"/>
      <c r="N6" s="80"/>
      <c r="O6" s="80"/>
      <c r="P6" s="80"/>
      <c r="Q6" s="5"/>
      <c r="R6" s="20"/>
      <c r="S6" s="23"/>
      <c r="T6" s="22"/>
      <c r="U6" s="4"/>
      <c r="V6" s="4"/>
      <c r="W6" s="13"/>
      <c r="X6" s="14">
        <f ca="1">TODAY()</f>
        <v>43320</v>
      </c>
      <c r="Y6" s="13">
        <f ca="1">YEAR(X6)</f>
        <v>2018</v>
      </c>
      <c r="Z6" s="13">
        <f ca="1">MONTH(X6)</f>
        <v>8</v>
      </c>
      <c r="AA6" s="13">
        <f ca="1">DAY(X6)</f>
        <v>8</v>
      </c>
      <c r="AB6" s="19"/>
      <c r="AC6" s="158"/>
      <c r="AD6" s="158"/>
      <c r="AE6" s="158"/>
      <c r="AF6" s="158"/>
      <c r="AG6" s="158"/>
      <c r="AH6" s="158"/>
      <c r="AI6" s="158"/>
    </row>
    <row r="7" spans="1:35" ht="14.65" thickBot="1" x14ac:dyDescent="0.5">
      <c r="A7" s="80"/>
      <c r="B7" s="48"/>
      <c r="C7" s="48"/>
      <c r="D7" s="4"/>
      <c r="E7" s="4"/>
      <c r="F7" s="80"/>
      <c r="G7" s="80"/>
      <c r="H7" s="80"/>
      <c r="I7" s="48"/>
      <c r="J7" s="48"/>
      <c r="K7" s="4"/>
      <c r="L7" s="121"/>
      <c r="M7" s="80"/>
      <c r="N7" s="80"/>
      <c r="O7" s="80"/>
      <c r="P7" s="80"/>
      <c r="Q7" s="133" t="s">
        <v>10</v>
      </c>
      <c r="R7" s="18">
        <f>C12</f>
        <v>0</v>
      </c>
      <c r="S7" s="144" t="e">
        <f>T7*S5</f>
        <v>#N/A</v>
      </c>
      <c r="T7" s="142" t="e">
        <f>VLOOKUP(C12,genderTable,2,FALSE)</f>
        <v>#N/A</v>
      </c>
      <c r="U7" s="4"/>
      <c r="V7" s="4"/>
      <c r="W7" s="13"/>
      <c r="X7" s="14">
        <f>C10</f>
        <v>0</v>
      </c>
      <c r="Y7" s="13">
        <f>YEAR(X7)</f>
        <v>1900</v>
      </c>
      <c r="Z7" s="13">
        <f>MONTH(X7)</f>
        <v>1</v>
      </c>
      <c r="AA7" s="13">
        <f>DAY(X7)</f>
        <v>0</v>
      </c>
      <c r="AB7" s="19"/>
      <c r="AC7" s="158"/>
      <c r="AD7" s="158"/>
      <c r="AE7" s="158"/>
      <c r="AF7" s="158"/>
      <c r="AG7" s="158"/>
      <c r="AH7" s="158"/>
      <c r="AI7" s="158"/>
    </row>
    <row r="8" spans="1:35" ht="14.65" thickBot="1" x14ac:dyDescent="0.5">
      <c r="A8" s="80"/>
      <c r="B8" s="117" t="s">
        <v>2</v>
      </c>
      <c r="C8" s="135"/>
      <c r="D8" s="4"/>
      <c r="E8" s="4"/>
      <c r="F8" s="119"/>
      <c r="G8" s="80"/>
      <c r="H8" s="80"/>
      <c r="I8" s="117" t="s">
        <v>26</v>
      </c>
      <c r="J8" s="135"/>
      <c r="K8" s="4"/>
      <c r="L8" s="119"/>
      <c r="M8" s="4"/>
      <c r="N8" s="80"/>
      <c r="O8" s="80"/>
      <c r="P8" s="80"/>
      <c r="Q8" s="133" t="s">
        <v>12</v>
      </c>
      <c r="R8" s="139" t="str">
        <f>IF(DOB="","",AB9)</f>
        <v/>
      </c>
      <c r="S8" s="143" t="e">
        <f>(S5*T8)</f>
        <v>#N/A</v>
      </c>
      <c r="T8" s="141" t="e">
        <f>VLOOKUP(R8,ageTable,2,TRUE)</f>
        <v>#N/A</v>
      </c>
      <c r="U8" s="4"/>
      <c r="V8" s="4"/>
      <c r="W8" s="19"/>
      <c r="X8" s="19"/>
      <c r="Y8" s="15">
        <f ca="1">(Y6-Y7)</f>
        <v>118</v>
      </c>
      <c r="Z8" s="15">
        <f ca="1">Z6-Z7</f>
        <v>7</v>
      </c>
      <c r="AA8" s="15">
        <f ca="1">AA6-AA7</f>
        <v>8</v>
      </c>
      <c r="AB8" s="19"/>
      <c r="AC8" s="158"/>
      <c r="AD8" s="158"/>
      <c r="AE8" s="158"/>
      <c r="AF8" s="158"/>
      <c r="AG8" s="158"/>
      <c r="AH8" s="158"/>
      <c r="AI8" s="158"/>
    </row>
    <row r="9" spans="1:35" ht="14.65" thickBot="1" x14ac:dyDescent="0.5">
      <c r="A9" s="80"/>
      <c r="B9" s="48"/>
      <c r="C9" s="48"/>
      <c r="D9" s="4"/>
      <c r="E9" s="4"/>
      <c r="F9" s="80"/>
      <c r="G9" s="80"/>
      <c r="H9" s="80"/>
      <c r="I9" s="48"/>
      <c r="J9" s="48"/>
      <c r="K9" s="4"/>
      <c r="L9" s="121"/>
      <c r="M9" s="4"/>
      <c r="N9" s="80"/>
      <c r="O9" s="80"/>
      <c r="P9" s="80"/>
      <c r="Q9" s="133" t="s">
        <v>28</v>
      </c>
      <c r="R9" s="161">
        <f>C14</f>
        <v>0</v>
      </c>
      <c r="S9" s="162" t="e">
        <f>S5*T9</f>
        <v>#N/A</v>
      </c>
      <c r="T9" s="161" t="e">
        <f>VLOOKUP(carTypeModel, carTypeFactor,2,FALSE)</f>
        <v>#N/A</v>
      </c>
      <c r="U9" s="4"/>
      <c r="V9" s="4"/>
      <c r="W9" s="19"/>
      <c r="X9" s="19"/>
      <c r="Y9" s="15"/>
      <c r="Z9" s="15">
        <f ca="1">IF(Z8&lt;0,-1,0)</f>
        <v>0</v>
      </c>
      <c r="AA9" s="15">
        <f ca="1">IF(Z9&lt;0,IF(AA8=0,-1,0),0)</f>
        <v>0</v>
      </c>
      <c r="AB9" s="16">
        <f ca="1">Y8+Z9+AA9</f>
        <v>118</v>
      </c>
      <c r="AC9" s="158"/>
      <c r="AD9" s="158"/>
      <c r="AE9" s="158"/>
      <c r="AF9" s="158"/>
      <c r="AG9" s="158"/>
      <c r="AH9" s="158"/>
      <c r="AI9" s="158"/>
    </row>
    <row r="10" spans="1:35" ht="14.65" thickBot="1" x14ac:dyDescent="0.5">
      <c r="A10" s="80"/>
      <c r="B10" s="117" t="s">
        <v>63</v>
      </c>
      <c r="C10" s="136"/>
      <c r="D10" s="4"/>
      <c r="E10" s="4"/>
      <c r="F10" s="119"/>
      <c r="G10" s="80"/>
      <c r="H10" s="80"/>
      <c r="I10" s="117" t="s">
        <v>4</v>
      </c>
      <c r="J10" s="135"/>
      <c r="K10" s="4"/>
      <c r="L10" s="119"/>
      <c r="M10" s="4"/>
      <c r="N10" s="80"/>
      <c r="O10" s="80"/>
      <c r="P10" s="80"/>
      <c r="Q10" s="138" t="s">
        <v>74</v>
      </c>
      <c r="R10" s="163">
        <f>C20</f>
        <v>0</v>
      </c>
      <c r="S10" s="164" t="e">
        <f>S5*T10</f>
        <v>#N/A</v>
      </c>
      <c r="T10" s="163" t="e">
        <f>VLOOKUP(parkingLocationName, parkingLocationFactor,2,FALSE)</f>
        <v>#N/A</v>
      </c>
      <c r="U10" s="4"/>
      <c r="V10" s="4"/>
      <c r="W10" s="4"/>
      <c r="X10" s="4"/>
      <c r="Y10" s="4"/>
      <c r="Z10" s="4"/>
      <c r="AA10" s="4"/>
      <c r="AB10" s="4"/>
      <c r="AC10" s="158"/>
      <c r="AD10" s="158"/>
      <c r="AE10" s="158"/>
      <c r="AF10" s="158"/>
      <c r="AG10" s="158"/>
      <c r="AH10" s="158"/>
      <c r="AI10" s="158"/>
    </row>
    <row r="11" spans="1:35" ht="14.65" thickBot="1" x14ac:dyDescent="0.5">
      <c r="A11" s="80"/>
      <c r="B11" s="131"/>
      <c r="C11" s="48"/>
      <c r="D11" s="4"/>
      <c r="E11" s="4"/>
      <c r="F11" s="25"/>
      <c r="G11" s="80"/>
      <c r="H11" s="80"/>
      <c r="I11" s="48"/>
      <c r="J11" s="48"/>
      <c r="K11" s="4"/>
      <c r="L11" s="121"/>
      <c r="M11" s="4"/>
      <c r="N11" s="80"/>
      <c r="O11" s="80"/>
      <c r="P11" s="80"/>
      <c r="Q11" s="138" t="s">
        <v>44</v>
      </c>
      <c r="R11" s="165">
        <f>C18</f>
        <v>0</v>
      </c>
      <c r="S11" s="166">
        <f>S5*T11</f>
        <v>50</v>
      </c>
      <c r="T11" s="165">
        <f>VLOOKUP(mileageInput, mileageFactor,2,TRUE)</f>
        <v>0.1</v>
      </c>
      <c r="U11" s="4"/>
      <c r="V11" s="4"/>
      <c r="W11" s="4"/>
      <c r="X11" s="4"/>
      <c r="Y11" s="4"/>
      <c r="Z11" s="4"/>
      <c r="AA11" s="4"/>
      <c r="AB11" s="4"/>
      <c r="AC11" s="158"/>
      <c r="AD11" s="158"/>
      <c r="AE11" s="158"/>
      <c r="AF11" s="158"/>
      <c r="AG11" s="158"/>
      <c r="AH11" s="158"/>
      <c r="AI11" s="158"/>
    </row>
    <row r="12" spans="1:35" ht="14.65" thickBot="1" x14ac:dyDescent="0.5">
      <c r="A12" s="80"/>
      <c r="B12" s="117" t="s">
        <v>10</v>
      </c>
      <c r="C12" s="135"/>
      <c r="D12" s="4"/>
      <c r="E12" s="4"/>
      <c r="F12" s="119"/>
      <c r="G12" s="80"/>
      <c r="H12" s="80"/>
      <c r="I12" s="117" t="s">
        <v>27</v>
      </c>
      <c r="J12" s="135"/>
      <c r="K12" s="4"/>
      <c r="L12" s="119"/>
      <c r="M12" s="4"/>
      <c r="N12" s="80"/>
      <c r="O12" s="80"/>
      <c r="P12" s="80"/>
      <c r="Q12" s="138" t="s">
        <v>46</v>
      </c>
      <c r="R12" s="167">
        <f>C22</f>
        <v>0</v>
      </c>
      <c r="S12" s="168">
        <f>S5*T12</f>
        <v>50</v>
      </c>
      <c r="T12" s="167">
        <f>VLOOKUP(carAgeNumber, carAgeFactor,2,TRUE)</f>
        <v>0.1</v>
      </c>
      <c r="U12" s="4"/>
      <c r="V12" s="4"/>
      <c r="W12" s="4"/>
      <c r="X12" s="4"/>
      <c r="Y12" s="4"/>
      <c r="Z12" s="4"/>
      <c r="AA12" s="4"/>
      <c r="AB12" s="4"/>
      <c r="AC12" s="158"/>
      <c r="AD12" s="158"/>
      <c r="AE12" s="158"/>
      <c r="AF12" s="158"/>
      <c r="AG12" s="158"/>
      <c r="AH12" s="158"/>
      <c r="AI12" s="158"/>
    </row>
    <row r="13" spans="1:35" ht="14.65" thickBot="1" x14ac:dyDescent="0.5">
      <c r="A13" s="80"/>
      <c r="B13" s="117"/>
      <c r="C13" s="48"/>
      <c r="D13" s="4"/>
      <c r="E13" s="4"/>
      <c r="F13" s="25"/>
      <c r="G13" s="80"/>
      <c r="H13" s="80"/>
      <c r="I13" s="117"/>
      <c r="J13" s="48"/>
      <c r="K13" s="4"/>
      <c r="L13" s="4"/>
      <c r="M13" s="4"/>
      <c r="N13" s="80"/>
      <c r="O13" s="80"/>
      <c r="P13" s="80"/>
      <c r="Q13" s="138" t="s">
        <v>52</v>
      </c>
      <c r="R13" s="169">
        <f>C24</f>
        <v>0</v>
      </c>
      <c r="S13" s="170" t="e">
        <f>S5*T13</f>
        <v>#N/A</v>
      </c>
      <c r="T13" s="169" t="e">
        <f>VLOOKUP(typeOfInsuranceName, insuranceTypeFactor,2,FALSE)</f>
        <v>#N/A</v>
      </c>
      <c r="U13" s="4"/>
      <c r="V13" s="4"/>
      <c r="W13" s="4"/>
      <c r="X13" s="4"/>
      <c r="Y13" s="4"/>
      <c r="Z13" s="4"/>
      <c r="AA13" s="4"/>
      <c r="AB13" s="4"/>
      <c r="AC13" s="158"/>
      <c r="AD13" s="158"/>
      <c r="AE13" s="158"/>
      <c r="AF13" s="158"/>
      <c r="AG13" s="158"/>
      <c r="AH13" s="158"/>
      <c r="AI13" s="158"/>
    </row>
    <row r="14" spans="1:35" ht="14.65" thickBot="1" x14ac:dyDescent="0.5">
      <c r="A14" s="80"/>
      <c r="B14" s="117" t="s">
        <v>28</v>
      </c>
      <c r="C14" s="137"/>
      <c r="D14" s="4"/>
      <c r="E14" s="24"/>
      <c r="F14" s="119"/>
      <c r="G14" s="80"/>
      <c r="H14" s="80"/>
      <c r="I14" s="132" t="s">
        <v>66</v>
      </c>
      <c r="J14" s="198" t="str">
        <f>R8</f>
        <v/>
      </c>
      <c r="K14" s="4"/>
      <c r="L14" s="120"/>
      <c r="M14" s="4"/>
      <c r="N14" s="4"/>
      <c r="O14" s="80"/>
      <c r="P14" s="80"/>
      <c r="Q14" s="171" t="s">
        <v>27</v>
      </c>
      <c r="R14" s="181">
        <f>J12</f>
        <v>0</v>
      </c>
      <c r="S14" s="183" t="e">
        <f>S5*T14</f>
        <v>#N/A</v>
      </c>
      <c r="T14" s="182" t="e">
        <f>VLOOKUP(stateName, stateFactor,2,FALSE)</f>
        <v>#N/A</v>
      </c>
      <c r="U14" s="4"/>
      <c r="V14" s="4"/>
      <c r="W14" s="4"/>
      <c r="X14" s="4"/>
      <c r="Y14" s="4"/>
      <c r="Z14" s="4"/>
      <c r="AA14" s="4"/>
      <c r="AB14" s="4"/>
      <c r="AC14" s="158"/>
      <c r="AD14" s="158"/>
      <c r="AE14" s="158"/>
      <c r="AF14" s="158"/>
      <c r="AG14" s="158"/>
      <c r="AH14" s="158"/>
      <c r="AI14" s="158"/>
    </row>
    <row r="15" spans="1:35" ht="14.65" thickBot="1" x14ac:dyDescent="0.5">
      <c r="A15" s="80"/>
      <c r="B15" s="48"/>
      <c r="C15" s="48"/>
      <c r="D15" s="4"/>
      <c r="E15" s="25"/>
      <c r="F15" s="25"/>
      <c r="G15" s="80"/>
      <c r="H15" s="80"/>
      <c r="I15" s="4"/>
      <c r="J15" s="4"/>
      <c r="K15" s="4"/>
      <c r="L15" s="4"/>
      <c r="M15" s="4"/>
      <c r="N15" s="4"/>
      <c r="O15" s="4"/>
      <c r="P15" s="4"/>
      <c r="Q15" s="172"/>
      <c r="R15" s="159"/>
      <c r="S15" s="140"/>
      <c r="T15" s="160"/>
      <c r="U15" s="4"/>
      <c r="V15" s="4"/>
      <c r="W15" s="4"/>
      <c r="X15" s="4"/>
      <c r="Y15" s="4"/>
      <c r="Z15" s="4"/>
      <c r="AA15" s="4"/>
      <c r="AB15" s="158"/>
      <c r="AC15" s="158"/>
      <c r="AD15" s="158"/>
      <c r="AE15" s="158"/>
      <c r="AF15" s="158"/>
      <c r="AG15" s="158"/>
      <c r="AH15" s="158"/>
      <c r="AI15" s="158"/>
    </row>
    <row r="16" spans="1:35" ht="14.65" thickBot="1" x14ac:dyDescent="0.5">
      <c r="A16" s="80"/>
      <c r="B16" s="117" t="s">
        <v>43</v>
      </c>
      <c r="C16" s="173"/>
      <c r="D16" s="77"/>
      <c r="E16" s="77"/>
      <c r="F16" s="120"/>
      <c r="G16" s="80"/>
      <c r="H16" s="80"/>
      <c r="I16" s="123" t="s">
        <v>19</v>
      </c>
      <c r="J16" s="59" t="str">
        <f>IF(ISNA(totalPremiumCalc),"",totalPremiumCalc)</f>
        <v/>
      </c>
      <c r="K16" s="4"/>
      <c r="L16" s="4"/>
      <c r="M16" s="4"/>
      <c r="N16" s="4"/>
      <c r="O16" s="4"/>
      <c r="P16" s="4"/>
      <c r="Q16" s="133" t="s">
        <v>19</v>
      </c>
      <c r="R16" s="140"/>
      <c r="S16" s="180" t="e">
        <f>S5+S7+S8+S9+S10+S11+S12+S13+S14</f>
        <v>#N/A</v>
      </c>
      <c r="T16" s="140"/>
      <c r="U16" s="4"/>
      <c r="V16" s="4"/>
      <c r="W16" s="4"/>
      <c r="X16" s="4"/>
      <c r="Y16" s="4"/>
      <c r="Z16" s="4"/>
      <c r="AA16" s="4"/>
      <c r="AB16" s="158"/>
      <c r="AC16" s="158"/>
      <c r="AD16" s="158"/>
      <c r="AE16" s="158"/>
      <c r="AF16" s="158"/>
      <c r="AG16" s="158"/>
      <c r="AH16" s="158"/>
      <c r="AI16" s="158"/>
    </row>
    <row r="17" spans="1:35" ht="14.65" thickBot="1" x14ac:dyDescent="0.5">
      <c r="A17" s="80"/>
      <c r="B17" s="48"/>
      <c r="C17" s="77"/>
      <c r="D17" s="77"/>
      <c r="E17" s="77"/>
      <c r="F17" s="5"/>
      <c r="G17" s="80"/>
      <c r="H17" s="80"/>
      <c r="I17" s="124"/>
      <c r="J17" s="124"/>
      <c r="K17" s="124"/>
      <c r="L17" s="124"/>
      <c r="M17" s="124"/>
      <c r="N17" s="4"/>
      <c r="O17" s="4"/>
      <c r="P17" s="4"/>
      <c r="Q17" s="146"/>
      <c r="R17" s="146"/>
      <c r="S17" s="146"/>
      <c r="T17" s="146"/>
      <c r="U17" s="4"/>
      <c r="V17" s="4"/>
      <c r="W17" s="4"/>
      <c r="X17" s="4"/>
      <c r="Y17" s="4"/>
      <c r="Z17" s="4"/>
      <c r="AA17" s="4"/>
      <c r="AB17" s="158"/>
      <c r="AC17" s="158"/>
      <c r="AD17" s="158"/>
      <c r="AE17" s="158"/>
      <c r="AF17" s="158"/>
      <c r="AG17" s="158"/>
      <c r="AH17" s="158"/>
      <c r="AI17" s="158"/>
    </row>
    <row r="18" spans="1:35" ht="14.65" thickBot="1" x14ac:dyDescent="0.5">
      <c r="A18" s="80"/>
      <c r="B18" s="117" t="s">
        <v>75</v>
      </c>
      <c r="C18" s="173"/>
      <c r="D18" s="77"/>
      <c r="E18" s="77"/>
      <c r="F18" s="120"/>
      <c r="G18" s="80"/>
      <c r="H18" s="80"/>
      <c r="I18" s="122" t="s">
        <v>62</v>
      </c>
      <c r="J18" s="127">
        <f>Lookup!B2</f>
        <v>8</v>
      </c>
      <c r="K18" s="124"/>
      <c r="L18" s="124"/>
      <c r="M18" s="124"/>
      <c r="N18" s="4"/>
      <c r="O18" s="4"/>
      <c r="P18" s="4"/>
      <c r="Q18" s="146"/>
      <c r="R18" s="146"/>
      <c r="S18" s="146"/>
      <c r="T18" s="146"/>
      <c r="U18" s="4"/>
      <c r="V18" s="4"/>
      <c r="W18" s="4"/>
      <c r="X18" s="4"/>
      <c r="Y18" s="4"/>
      <c r="Z18" s="4"/>
      <c r="AA18" s="4"/>
      <c r="AB18" s="158"/>
      <c r="AC18" s="158"/>
      <c r="AD18" s="158"/>
      <c r="AE18" s="158"/>
      <c r="AF18" s="158"/>
      <c r="AG18" s="158"/>
      <c r="AH18" s="158"/>
      <c r="AI18" s="158"/>
    </row>
    <row r="19" spans="1:35" ht="14.65" thickBot="1" x14ac:dyDescent="0.5">
      <c r="A19" s="80"/>
      <c r="B19" s="48"/>
      <c r="C19" s="77"/>
      <c r="D19" s="77"/>
      <c r="E19" s="77"/>
      <c r="F19" s="5"/>
      <c r="G19" s="77"/>
      <c r="H19" s="80"/>
      <c r="I19" s="124"/>
      <c r="J19" s="124"/>
      <c r="K19" s="124"/>
      <c r="L19" s="124"/>
      <c r="M19" s="12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158"/>
      <c r="AC19" s="158"/>
      <c r="AD19" s="158"/>
      <c r="AE19" s="158"/>
      <c r="AF19" s="158"/>
      <c r="AG19" s="158"/>
      <c r="AH19" s="158"/>
      <c r="AI19" s="158"/>
    </row>
    <row r="20" spans="1:35" ht="14.65" thickBot="1" x14ac:dyDescent="0.5">
      <c r="A20" s="80"/>
      <c r="B20" s="117" t="s">
        <v>45</v>
      </c>
      <c r="C20" s="137"/>
      <c r="D20" s="77"/>
      <c r="E20" s="124"/>
      <c r="F20" s="120"/>
      <c r="G20" s="77"/>
      <c r="H20" s="80"/>
      <c r="I20" s="124"/>
      <c r="J20" s="124"/>
      <c r="K20" s="124"/>
      <c r="L20" s="124"/>
      <c r="M20" s="12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58"/>
      <c r="AC20" s="158"/>
      <c r="AD20" s="158"/>
      <c r="AE20" s="158"/>
      <c r="AF20" s="158"/>
      <c r="AG20" s="158"/>
      <c r="AH20" s="158"/>
      <c r="AI20" s="158"/>
    </row>
    <row r="21" spans="1:35" ht="14.65" thickBot="1" x14ac:dyDescent="0.5">
      <c r="A21" s="80"/>
      <c r="B21" s="48"/>
      <c r="C21" s="77"/>
      <c r="D21" s="77"/>
      <c r="E21" s="124"/>
      <c r="F21" s="120"/>
      <c r="G21" s="4"/>
      <c r="H21" s="4"/>
      <c r="I21" s="124"/>
      <c r="J21" s="124"/>
      <c r="K21" s="124"/>
      <c r="L21" s="124"/>
      <c r="M21" s="12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58"/>
      <c r="AC21" s="158"/>
      <c r="AD21" s="158"/>
      <c r="AE21" s="158"/>
      <c r="AF21" s="158"/>
      <c r="AG21" s="158"/>
      <c r="AH21" s="158"/>
      <c r="AI21" s="158"/>
    </row>
    <row r="22" spans="1:35" ht="14.65" thickBot="1" x14ac:dyDescent="0.5">
      <c r="A22" s="80"/>
      <c r="B22" s="117" t="s">
        <v>46</v>
      </c>
      <c r="C22" s="173"/>
      <c r="D22" s="77"/>
      <c r="E22" s="124"/>
      <c r="F22" s="120"/>
      <c r="G22" s="4"/>
      <c r="H22" s="4"/>
      <c r="I22" s="124"/>
      <c r="J22" s="124"/>
      <c r="K22" s="124"/>
      <c r="L22" s="124"/>
      <c r="M22" s="12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58"/>
      <c r="AC22" s="158"/>
      <c r="AD22" s="158"/>
      <c r="AE22" s="158"/>
      <c r="AF22" s="158"/>
      <c r="AG22" s="158"/>
      <c r="AH22" s="158"/>
      <c r="AI22" s="158"/>
    </row>
    <row r="23" spans="1:35" ht="14.65" thickBot="1" x14ac:dyDescent="0.5">
      <c r="A23" s="80"/>
      <c r="B23" s="48"/>
      <c r="C23" s="77"/>
      <c r="D23" s="77"/>
      <c r="E23" s="124"/>
      <c r="F23" s="120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58"/>
      <c r="AC23" s="158"/>
      <c r="AD23" s="158"/>
      <c r="AE23" s="158"/>
      <c r="AF23" s="158"/>
      <c r="AG23" s="158"/>
      <c r="AH23" s="158"/>
      <c r="AI23" s="158"/>
    </row>
    <row r="24" spans="1:35" ht="14.65" thickBot="1" x14ac:dyDescent="0.5">
      <c r="A24" s="80"/>
      <c r="B24" s="117" t="s">
        <v>64</v>
      </c>
      <c r="C24" s="137"/>
      <c r="D24" s="77"/>
      <c r="E24" s="124"/>
      <c r="F24" s="120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158"/>
      <c r="AC24" s="158"/>
      <c r="AD24" s="158"/>
      <c r="AE24" s="158"/>
      <c r="AF24" s="158"/>
      <c r="AG24" s="158"/>
      <c r="AH24" s="158"/>
      <c r="AI24" s="158"/>
    </row>
    <row r="25" spans="1:35" x14ac:dyDescent="0.45">
      <c r="A25" s="80"/>
      <c r="B25" s="80"/>
      <c r="C25" s="80"/>
      <c r="D25" s="80"/>
      <c r="E25" s="80"/>
      <c r="F25" s="80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158"/>
      <c r="AC25" s="158"/>
      <c r="AD25" s="158"/>
      <c r="AE25" s="158"/>
      <c r="AF25" s="158"/>
      <c r="AG25" s="158"/>
      <c r="AH25" s="158"/>
      <c r="AI25" s="158"/>
    </row>
    <row r="26" spans="1:35" x14ac:dyDescent="0.45">
      <c r="A26" s="80"/>
      <c r="B26" s="80"/>
      <c r="C26" s="80"/>
      <c r="D26" s="80"/>
      <c r="E26" s="80"/>
      <c r="F26" s="80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158"/>
      <c r="AC26" s="158"/>
      <c r="AD26" s="158"/>
      <c r="AE26" s="158"/>
      <c r="AF26" s="158"/>
      <c r="AG26" s="158"/>
      <c r="AH26" s="158"/>
      <c r="AI26" s="158"/>
    </row>
    <row r="27" spans="1:35" x14ac:dyDescent="0.45">
      <c r="A27" s="80"/>
      <c r="B27" s="80"/>
      <c r="C27" s="80"/>
      <c r="D27" s="80"/>
      <c r="E27" s="80"/>
      <c r="F27" s="80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158"/>
      <c r="AC27" s="158"/>
      <c r="AD27" s="158"/>
      <c r="AE27" s="158"/>
      <c r="AF27" s="158"/>
      <c r="AG27" s="158"/>
      <c r="AH27" s="158"/>
      <c r="AI27" s="158"/>
    </row>
    <row r="28" spans="1:35" x14ac:dyDescent="0.45">
      <c r="A28" s="80"/>
      <c r="B28" s="80"/>
      <c r="C28" s="80"/>
      <c r="D28" s="80"/>
      <c r="E28" s="80"/>
      <c r="F28" s="80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158"/>
      <c r="AC28" s="158"/>
      <c r="AD28" s="158"/>
      <c r="AE28" s="158"/>
      <c r="AF28" s="158"/>
      <c r="AG28" s="158"/>
      <c r="AH28" s="158"/>
      <c r="AI28" s="158"/>
    </row>
    <row r="29" spans="1:35" x14ac:dyDescent="0.45">
      <c r="A29" s="80"/>
      <c r="B29" s="80"/>
      <c r="C29" s="80"/>
      <c r="D29" s="80"/>
      <c r="E29" s="80"/>
      <c r="F29" s="80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158"/>
      <c r="AC29" s="158"/>
      <c r="AD29" s="158"/>
      <c r="AE29" s="158"/>
      <c r="AF29" s="158"/>
      <c r="AG29" s="158"/>
      <c r="AH29" s="158"/>
      <c r="AI29" s="158"/>
    </row>
    <row r="30" spans="1:35" x14ac:dyDescent="0.45">
      <c r="A30" s="80"/>
      <c r="B30" s="80"/>
      <c r="C30" s="80"/>
      <c r="D30" s="80"/>
      <c r="E30" s="80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158"/>
      <c r="AC30" s="158"/>
      <c r="AD30" s="158"/>
      <c r="AE30" s="158"/>
      <c r="AF30" s="158"/>
      <c r="AG30" s="158"/>
      <c r="AH30" s="158"/>
      <c r="AI30" s="158"/>
    </row>
    <row r="31" spans="1:35" x14ac:dyDescent="0.45">
      <c r="A31" s="80"/>
      <c r="B31" s="80"/>
      <c r="C31" s="80"/>
      <c r="D31" s="80"/>
      <c r="E31" s="80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158"/>
      <c r="AC31" s="158"/>
      <c r="AD31" s="158"/>
      <c r="AE31" s="158"/>
      <c r="AF31" s="158"/>
      <c r="AG31" s="158"/>
      <c r="AH31" s="158"/>
      <c r="AI31" s="158"/>
    </row>
    <row r="32" spans="1:35" x14ac:dyDescent="0.45">
      <c r="A32" s="80"/>
      <c r="B32" s="80"/>
      <c r="C32" s="80"/>
      <c r="D32" s="80"/>
      <c r="E32" s="80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158"/>
      <c r="AC32" s="158"/>
      <c r="AD32" s="158"/>
      <c r="AE32" s="158"/>
      <c r="AF32" s="158"/>
      <c r="AG32" s="158"/>
      <c r="AH32" s="158"/>
      <c r="AI32" s="158"/>
    </row>
    <row r="33" spans="1:35" x14ac:dyDescent="0.45">
      <c r="A33" s="80"/>
      <c r="B33" s="80"/>
      <c r="C33" s="80"/>
      <c r="D33" s="80"/>
      <c r="E33" s="80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158"/>
      <c r="AC33" s="158"/>
      <c r="AD33" s="158"/>
      <c r="AE33" s="158"/>
      <c r="AF33" s="158"/>
      <c r="AG33" s="158"/>
      <c r="AH33" s="158"/>
      <c r="AI33" s="158"/>
    </row>
    <row r="34" spans="1:35" x14ac:dyDescent="0.45">
      <c r="A34" s="80"/>
      <c r="B34" s="80"/>
      <c r="C34" s="80"/>
      <c r="D34" s="80"/>
      <c r="E34" s="80"/>
      <c r="F34" s="4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158"/>
      <c r="AC34" s="158"/>
      <c r="AD34" s="158"/>
      <c r="AE34" s="158"/>
      <c r="AF34" s="158"/>
      <c r="AG34" s="158"/>
      <c r="AH34" s="158"/>
      <c r="AI34" s="158"/>
    </row>
    <row r="35" spans="1:35" x14ac:dyDescent="0.45">
      <c r="A35" s="81"/>
      <c r="B35" s="48"/>
      <c r="C35" s="4"/>
      <c r="D35" s="4"/>
      <c r="E35" s="4"/>
      <c r="F35" s="4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158"/>
      <c r="AC35" s="158"/>
      <c r="AD35" s="158"/>
      <c r="AE35" s="158"/>
      <c r="AF35" s="158"/>
      <c r="AG35" s="158"/>
      <c r="AH35" s="158"/>
      <c r="AI35" s="158"/>
    </row>
    <row r="36" spans="1:35" x14ac:dyDescent="0.45">
      <c r="A36" s="80"/>
      <c r="B36" s="80"/>
      <c r="C36" s="4"/>
      <c r="D36" s="4"/>
      <c r="E36" s="4"/>
      <c r="F36" s="4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58"/>
      <c r="AC36" s="158"/>
      <c r="AD36" s="158"/>
      <c r="AE36" s="158"/>
      <c r="AF36" s="158"/>
      <c r="AG36" s="158"/>
      <c r="AH36" s="158"/>
      <c r="AI36" s="158"/>
    </row>
    <row r="37" spans="1:35" x14ac:dyDescent="0.45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58"/>
      <c r="AC37" s="158"/>
      <c r="AD37" s="158"/>
      <c r="AE37" s="158"/>
      <c r="AF37" s="158"/>
      <c r="AG37" s="158"/>
      <c r="AH37" s="158"/>
      <c r="AI37" s="158"/>
    </row>
    <row r="38" spans="1:35" x14ac:dyDescent="0.45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58"/>
      <c r="AC38" s="158"/>
      <c r="AD38" s="158"/>
      <c r="AE38" s="158"/>
      <c r="AF38" s="158"/>
      <c r="AG38" s="158"/>
      <c r="AH38" s="158"/>
      <c r="AI38" s="158"/>
    </row>
    <row r="39" spans="1:35" x14ac:dyDescent="0.4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58"/>
      <c r="AC39" s="158"/>
      <c r="AD39" s="158"/>
      <c r="AE39" s="158"/>
      <c r="AF39" s="158"/>
      <c r="AG39" s="158"/>
      <c r="AH39" s="158"/>
      <c r="AI39" s="158"/>
    </row>
    <row r="40" spans="1:35" x14ac:dyDescent="0.4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158"/>
      <c r="AC40" s="158"/>
      <c r="AD40" s="158"/>
      <c r="AE40" s="158"/>
      <c r="AF40" s="158"/>
      <c r="AG40" s="158"/>
      <c r="AH40" s="158"/>
      <c r="AI40" s="158"/>
    </row>
    <row r="41" spans="1:35" x14ac:dyDescent="0.45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158"/>
      <c r="AC41" s="158"/>
      <c r="AD41" s="158"/>
      <c r="AE41" s="158"/>
      <c r="AF41" s="158"/>
      <c r="AG41" s="158"/>
      <c r="AH41" s="158"/>
      <c r="AI41" s="158"/>
    </row>
    <row r="42" spans="1:35" x14ac:dyDescent="0.4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158"/>
      <c r="AC42" s="158"/>
      <c r="AD42" s="158"/>
      <c r="AE42" s="158"/>
      <c r="AF42" s="158"/>
      <c r="AG42" s="158"/>
      <c r="AH42" s="158"/>
      <c r="AI42" s="158"/>
    </row>
    <row r="43" spans="1:35" x14ac:dyDescent="0.4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158"/>
      <c r="AC43" s="158"/>
      <c r="AD43" s="158"/>
      <c r="AE43" s="158"/>
      <c r="AF43" s="158"/>
      <c r="AG43" s="158"/>
      <c r="AH43" s="158"/>
      <c r="AI43" s="158"/>
    </row>
    <row r="44" spans="1:35" x14ac:dyDescent="0.4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158"/>
      <c r="AC44" s="158"/>
      <c r="AD44" s="158"/>
      <c r="AE44" s="158"/>
      <c r="AF44" s="158"/>
      <c r="AG44" s="158"/>
      <c r="AH44" s="158"/>
      <c r="AI44" s="158"/>
    </row>
    <row r="45" spans="1:35" x14ac:dyDescent="0.45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158"/>
      <c r="AC45" s="158"/>
      <c r="AD45" s="158"/>
      <c r="AE45" s="158"/>
      <c r="AF45" s="158"/>
      <c r="AG45" s="158"/>
      <c r="AH45" s="158"/>
      <c r="AI45" s="158"/>
    </row>
    <row r="46" spans="1:35" x14ac:dyDescent="0.45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158"/>
      <c r="AC46" s="158"/>
      <c r="AD46" s="158"/>
      <c r="AE46" s="158"/>
      <c r="AF46" s="158"/>
      <c r="AG46" s="158"/>
      <c r="AH46" s="158"/>
      <c r="AI46" s="158"/>
    </row>
    <row r="47" spans="1:35" x14ac:dyDescent="0.45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158"/>
      <c r="AC47" s="158"/>
      <c r="AD47" s="158"/>
      <c r="AE47" s="158"/>
      <c r="AF47" s="158"/>
      <c r="AG47" s="158"/>
      <c r="AH47" s="158"/>
      <c r="AI47" s="158"/>
    </row>
    <row r="48" spans="1:35" x14ac:dyDescent="0.45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158"/>
      <c r="AC48" s="158"/>
      <c r="AD48" s="158"/>
      <c r="AE48" s="158"/>
      <c r="AF48" s="158"/>
      <c r="AG48" s="158"/>
      <c r="AH48" s="158"/>
      <c r="AI48" s="158"/>
    </row>
    <row r="49" spans="1:35" x14ac:dyDescent="0.45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158"/>
      <c r="AC49" s="158"/>
      <c r="AD49" s="158"/>
      <c r="AE49" s="158"/>
      <c r="AF49" s="158"/>
      <c r="AG49" s="158"/>
      <c r="AH49" s="158"/>
      <c r="AI49" s="158"/>
    </row>
    <row r="50" spans="1:35" x14ac:dyDescent="0.45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158"/>
      <c r="AC50" s="158"/>
      <c r="AD50" s="158"/>
      <c r="AE50" s="158"/>
      <c r="AF50" s="158"/>
      <c r="AG50" s="158"/>
      <c r="AH50" s="158"/>
      <c r="AI50" s="158"/>
    </row>
    <row r="51" spans="1:35" x14ac:dyDescent="0.45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158"/>
      <c r="AC51" s="158"/>
      <c r="AD51" s="158"/>
      <c r="AE51" s="158"/>
      <c r="AF51" s="158"/>
      <c r="AG51" s="158"/>
      <c r="AH51" s="158"/>
      <c r="AI51" s="158"/>
    </row>
    <row r="52" spans="1:35" x14ac:dyDescent="0.45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158"/>
      <c r="AC52" s="158"/>
      <c r="AD52" s="158"/>
      <c r="AE52" s="158"/>
      <c r="AF52" s="158"/>
      <c r="AG52" s="158"/>
      <c r="AH52" s="158"/>
      <c r="AI52" s="158"/>
    </row>
    <row r="53" spans="1:35" x14ac:dyDescent="0.45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158"/>
      <c r="AC53" s="158"/>
      <c r="AD53" s="158"/>
      <c r="AE53" s="158"/>
      <c r="AF53" s="158"/>
      <c r="AG53" s="158"/>
      <c r="AH53" s="158"/>
      <c r="AI53" s="158"/>
    </row>
    <row r="54" spans="1:35" x14ac:dyDescent="0.45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158"/>
      <c r="AC54" s="158"/>
      <c r="AD54" s="158"/>
      <c r="AE54" s="158"/>
      <c r="AF54" s="158"/>
      <c r="AG54" s="158"/>
      <c r="AH54" s="158"/>
      <c r="AI54" s="158"/>
    </row>
    <row r="55" spans="1:35" x14ac:dyDescent="0.45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158"/>
      <c r="AC55" s="158"/>
      <c r="AD55" s="158"/>
      <c r="AE55" s="158"/>
      <c r="AF55" s="158"/>
      <c r="AG55" s="158"/>
      <c r="AH55" s="158"/>
      <c r="AI55" s="158"/>
    </row>
    <row r="56" spans="1:35" x14ac:dyDescent="0.45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158"/>
      <c r="AC56" s="158"/>
      <c r="AD56" s="158"/>
      <c r="AE56" s="158"/>
      <c r="AF56" s="158"/>
      <c r="AG56" s="158"/>
      <c r="AH56" s="158"/>
      <c r="AI56" s="158"/>
    </row>
    <row r="57" spans="1:35" x14ac:dyDescent="0.45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158"/>
      <c r="AC57" s="158"/>
      <c r="AD57" s="158"/>
      <c r="AE57" s="158"/>
      <c r="AF57" s="158"/>
      <c r="AG57" s="158"/>
      <c r="AH57" s="158"/>
      <c r="AI57" s="158"/>
    </row>
    <row r="58" spans="1:35" x14ac:dyDescent="0.45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158"/>
      <c r="AC58" s="158"/>
      <c r="AD58" s="158"/>
      <c r="AE58" s="158"/>
      <c r="AF58" s="158"/>
      <c r="AG58" s="158"/>
      <c r="AH58" s="158"/>
      <c r="AI58" s="158"/>
    </row>
    <row r="59" spans="1:35" x14ac:dyDescent="0.45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158"/>
      <c r="AC59" s="158"/>
      <c r="AD59" s="158"/>
      <c r="AE59" s="158"/>
      <c r="AF59" s="158"/>
      <c r="AG59" s="158"/>
      <c r="AH59" s="158"/>
      <c r="AI59" s="158"/>
    </row>
  </sheetData>
  <sheetProtection selectLockedCells="1"/>
  <dataValidations count="9">
    <dataValidation type="list" allowBlank="1" showInputMessage="1" showErrorMessage="1" errorTitle="Error" error="Please enter a valid gender." promptTitle="Gender" sqref="C12">
      <formula1>genderLU</formula1>
    </dataValidation>
    <dataValidation type="list" allowBlank="1" showInputMessage="1" showErrorMessage="1" errorTitle="Error" error="Please enter a valid vehicle type." sqref="C14">
      <formula1>carTypeLU</formula1>
    </dataValidation>
    <dataValidation type="list" allowBlank="1" showInputMessage="1" showErrorMessage="1" errorTitle="Error" error="Please enter a valid insurance type." sqref="C24">
      <formula1>insuranceTypeLU</formula1>
    </dataValidation>
    <dataValidation type="list" allowBlank="1" showInputMessage="1" showErrorMessage="1" errorTitle="Error" error="Please enter a valid parking location." sqref="C20">
      <formula1>parkingLocationLU</formula1>
    </dataValidation>
    <dataValidation type="date" operator="greaterThanOrEqual" allowBlank="1" showInputMessage="1" showErrorMessage="1" errorTitle="Error" error="Please enter a valid date." prompt="Please enter your DOB in the DD/MM/YYYY format." sqref="C10">
      <formula1>1</formula1>
    </dataValidation>
    <dataValidation type="whole" operator="greaterThanOrEqual" allowBlank="1" showInputMessage="1" showErrorMessage="1" error="Please enter a valid Odometer Reading in km." prompt="Please enter Odometer Reading in km." sqref="C18">
      <formula1>0</formula1>
    </dataValidation>
    <dataValidation type="whole" operator="greaterThanOrEqual" allowBlank="1" showInputMessage="1" showErrorMessage="1" error="Please enter a valid Car Age." sqref="C22">
      <formula1>0</formula1>
    </dataValidation>
    <dataValidation type="list" allowBlank="1" showInputMessage="1" showErrorMessage="1" error="Please enter a valid Australian State." sqref="J12">
      <formula1>stateLU</formula1>
    </dataValidation>
    <dataValidation type="whole" operator="greaterThan" allowBlank="1" showInputMessage="1" showErrorMessage="1" sqref="J1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submit_btn">
                <anchor moveWithCells="1" sizeWithCells="1">
                  <from>
                    <xdr:col>9</xdr:col>
                    <xdr:colOff>161925</xdr:colOff>
                    <xdr:row>19</xdr:row>
                    <xdr:rowOff>14288</xdr:rowOff>
                  </from>
                  <to>
                    <xdr:col>9</xdr:col>
                    <xdr:colOff>1800225</xdr:colOff>
                    <xdr:row>20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gotoUserMenu">
                <anchor moveWithCells="1" sizeWithCells="1">
                  <from>
                    <xdr:col>9</xdr:col>
                    <xdr:colOff>452438</xdr:colOff>
                    <xdr:row>25</xdr:row>
                    <xdr:rowOff>61913</xdr:rowOff>
                  </from>
                  <to>
                    <xdr:col>9</xdr:col>
                    <xdr:colOff>1547813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gotoQuoteSummary">
                <anchor moveWithCells="1" sizeWithCells="1">
                  <from>
                    <xdr:col>9</xdr:col>
                    <xdr:colOff>285750</xdr:colOff>
                    <xdr:row>22</xdr:row>
                    <xdr:rowOff>180975</xdr:rowOff>
                  </from>
                  <to>
                    <xdr:col>9</xdr:col>
                    <xdr:colOff>1719263</xdr:colOff>
                    <xdr:row>24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V37"/>
  <sheetViews>
    <sheetView tabSelected="1" workbookViewId="0">
      <selection activeCell="B4" sqref="B4"/>
    </sheetView>
  </sheetViews>
  <sheetFormatPr defaultRowHeight="14.25" x14ac:dyDescent="0.45"/>
  <cols>
    <col min="1" max="1" width="12.796875" style="186" customWidth="1"/>
    <col min="2" max="7" width="9.06640625" style="186"/>
    <col min="8" max="8" width="13.9296875" style="186" customWidth="1"/>
    <col min="9" max="9" width="12.19921875" style="186" customWidth="1"/>
    <col min="10" max="10" width="9.06640625" style="186"/>
    <col min="11" max="11" width="8.06640625" style="186" customWidth="1"/>
    <col min="12" max="12" width="11.06640625" style="186" customWidth="1"/>
    <col min="13" max="13" width="4.86328125" style="186" customWidth="1"/>
    <col min="14" max="14" width="11.3984375" style="186" customWidth="1"/>
    <col min="15" max="15" width="9.06640625" style="186"/>
    <col min="16" max="16" width="10.73046875" style="186" bestFit="1" customWidth="1"/>
    <col min="17" max="18" width="9.06640625" style="186"/>
    <col min="19" max="19" width="35.796875" style="186" customWidth="1"/>
    <col min="20" max="16384" width="9.06640625" style="186"/>
  </cols>
  <sheetData>
    <row r="2" spans="1:22" x14ac:dyDescent="0.45">
      <c r="D2" s="81" t="str">
        <f>IF(ISNA(MATCH(getQuoteNo,Datastore!A:A,0)),"N","Y")</f>
        <v>N</v>
      </c>
      <c r="E2" s="81" t="e">
        <f>INDEX(Datastore!A:ZZ,MATCH(getQuoteNo,Datastore!A:A,0),1)</f>
        <v>#N/A</v>
      </c>
      <c r="F2" s="81" t="e">
        <f>INDEX(Datastore!$A:$ZZ,MATCH(getQuoteNo,Datastore!$A:$A,0),2)</f>
        <v>#N/A</v>
      </c>
      <c r="G2" s="81" t="e">
        <f>INDEX(Datastore!A:ZZ,MATCH(getQuoteNo,Datastore!A:A,0),3)</f>
        <v>#N/A</v>
      </c>
      <c r="H2" s="81" t="e">
        <f>INDEX(Datastore!A:ZZ,MATCH(getQuoteNo,Datastore!A:A,0),4)</f>
        <v>#N/A</v>
      </c>
      <c r="I2" s="81" t="e">
        <f>INDEX(Datastore!A:ZZ,MATCH(getQuoteNo,Datastore!A:A,0),5)</f>
        <v>#N/A</v>
      </c>
      <c r="J2" s="81" t="e">
        <f>INDEX(Datastore!A:ZZ,MATCH(getQuoteNo,Datastore!A:A,0),6)</f>
        <v>#N/A</v>
      </c>
      <c r="K2" s="81" t="e">
        <f>INDEX(Datastore!A:ZZ,MATCH(getQuoteNo,Datastore!A:A,0),7)</f>
        <v>#N/A</v>
      </c>
      <c r="L2" s="187" t="e">
        <f>INDEX(Datastore!A:ZZ,MATCH(getQuoteNo,Datastore!A:A,0),8)</f>
        <v>#N/A</v>
      </c>
      <c r="M2" s="81" t="e">
        <f>INDEX(Datastore!A:ZZ,MATCH(getQuoteNo,Datastore!A:A,0),9)</f>
        <v>#N/A</v>
      </c>
      <c r="N2" s="81" t="e">
        <f>INDEX(Datastore!A:ZZ,MATCH(getQuoteNo,Datastore!A:A,0),10)</f>
        <v>#N/A</v>
      </c>
      <c r="O2" s="81" t="e">
        <f>INDEX(Datastore!A:ZZ,MATCH(getQuoteNo,Datastore!A:A,0),11)</f>
        <v>#N/A</v>
      </c>
      <c r="P2" s="81" t="e">
        <f>INDEX(Datastore!A:ZZ,MATCH(getQuoteNo,Datastore!A:A,0),12)</f>
        <v>#N/A</v>
      </c>
      <c r="Q2" s="81" t="e">
        <f>INDEX(Datastore!A:ZZ,MATCH(getQuoteNo,Datastore!A:A,0),13)</f>
        <v>#N/A</v>
      </c>
      <c r="R2" s="81" t="e">
        <f>INDEX(Datastore!A:ZZ,MATCH(getQuoteNo,Datastore!A:A,0),14)</f>
        <v>#N/A</v>
      </c>
      <c r="S2" s="81" t="e">
        <f>INDEX(Datastore!A:ZZ,MATCH(getQuoteNo,Datastore!A:A,0),15)</f>
        <v>#N/A</v>
      </c>
      <c r="T2" s="188" t="e">
        <f>INDEX(Datastore!A:ZZ,MATCH(getQuoteNo,Datastore!A:A,0),16)</f>
        <v>#N/A</v>
      </c>
      <c r="U2" s="81" t="e">
        <f>INDEX(Datastore!A:ZZ,MATCH(getQuoteNo,Datastore!A:A,0),17)</f>
        <v>#N/A</v>
      </c>
    </row>
    <row r="3" spans="1:22" ht="14.65" thickBot="1" x14ac:dyDescent="0.5">
      <c r="B3" s="186" t="s">
        <v>5</v>
      </c>
      <c r="V3" s="81"/>
    </row>
    <row r="4" spans="1:22" ht="14.65" thickBot="1" x14ac:dyDescent="0.5">
      <c r="A4" s="186" t="s">
        <v>35</v>
      </c>
      <c r="B4" s="190"/>
      <c r="L4" s="72"/>
      <c r="O4" s="73"/>
    </row>
    <row r="17" spans="1:8" x14ac:dyDescent="0.45">
      <c r="D17" s="193" t="s">
        <v>36</v>
      </c>
      <c r="E17" s="193"/>
    </row>
    <row r="24" spans="1:8" ht="25.15" customHeight="1" x14ac:dyDescent="0.45"/>
    <row r="26" spans="1:8" ht="25.15" customHeight="1" x14ac:dyDescent="0.45">
      <c r="A26" s="192"/>
      <c r="B26" s="192"/>
      <c r="C26" s="192"/>
      <c r="D26" s="192"/>
      <c r="E26" s="192"/>
      <c r="F26" s="192"/>
      <c r="G26" s="192"/>
      <c r="H26" s="192"/>
    </row>
    <row r="27" spans="1:8" ht="14.25" customHeight="1" x14ac:dyDescent="0.45">
      <c r="A27" s="192"/>
      <c r="B27" s="192"/>
      <c r="C27" s="192"/>
      <c r="D27" s="192"/>
      <c r="E27" s="192"/>
      <c r="F27" s="192"/>
      <c r="G27" s="192"/>
      <c r="H27" s="192"/>
    </row>
    <row r="28" spans="1:8" x14ac:dyDescent="0.45">
      <c r="A28" s="194"/>
      <c r="B28" s="194"/>
      <c r="C28" s="194"/>
      <c r="D28" s="194"/>
      <c r="E28" s="194"/>
      <c r="F28" s="194"/>
      <c r="G28" s="194"/>
      <c r="H28" s="194"/>
    </row>
    <row r="31" spans="1:8" ht="14.25" customHeight="1" x14ac:dyDescent="0.45">
      <c r="A31" s="189"/>
    </row>
    <row r="36" spans="1:1" ht="47.65" x14ac:dyDescent="1.55">
      <c r="A36" s="74"/>
    </row>
    <row r="37" spans="1:1" x14ac:dyDescent="0.45">
      <c r="A37" s="5"/>
    </row>
  </sheetData>
  <mergeCells count="4">
    <mergeCell ref="A27:H27"/>
    <mergeCell ref="A26:H26"/>
    <mergeCell ref="D17:E17"/>
    <mergeCell ref="A28:H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trieveQuote">
                <anchor moveWithCells="1" sizeWithCells="1">
                  <from>
                    <xdr:col>0</xdr:col>
                    <xdr:colOff>719138</xdr:colOff>
                    <xdr:row>4</xdr:row>
                    <xdr:rowOff>114300</xdr:rowOff>
                  </from>
                  <to>
                    <xdr:col>2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printPreview">
                <anchor moveWithCells="1" sizeWithCells="1">
                  <from>
                    <xdr:col>2</xdr:col>
                    <xdr:colOff>319088</xdr:colOff>
                    <xdr:row>4</xdr:row>
                    <xdr:rowOff>114300</xdr:rowOff>
                  </from>
                  <to>
                    <xdr:col>4</xdr:col>
                    <xdr:colOff>95250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gotoUserMenu">
                <anchor moveWithCells="1" sizeWithCells="1">
                  <from>
                    <xdr:col>4</xdr:col>
                    <xdr:colOff>504825</xdr:colOff>
                    <xdr:row>4</xdr:row>
                    <xdr:rowOff>123825</xdr:rowOff>
                  </from>
                  <to>
                    <xdr:col>6</xdr:col>
                    <xdr:colOff>390525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put_btn">
                <anchor moveWithCells="1" sizeWithCells="1">
                  <from>
                    <xdr:col>4</xdr:col>
                    <xdr:colOff>295275</xdr:colOff>
                    <xdr:row>6</xdr:row>
                    <xdr:rowOff>128588</xdr:rowOff>
                  </from>
                  <to>
                    <xdr:col>6</xdr:col>
                    <xdr:colOff>600075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"/>
  <sheetViews>
    <sheetView workbookViewId="0">
      <selection sqref="A1:D1"/>
    </sheetView>
  </sheetViews>
  <sheetFormatPr defaultRowHeight="14.25" x14ac:dyDescent="0.45"/>
  <sheetData>
    <row r="1" spans="1:4" ht="14.25" customHeight="1" x14ac:dyDescent="0.45">
      <c r="A1" s="195" t="s">
        <v>48</v>
      </c>
      <c r="B1" s="196"/>
      <c r="C1" s="196"/>
      <c r="D1" s="197"/>
    </row>
    <row r="2" spans="1:4" ht="45.75" customHeight="1" x14ac:dyDescent="0.45">
      <c r="A2" s="83" t="s">
        <v>10</v>
      </c>
      <c r="B2" s="84" t="s">
        <v>50</v>
      </c>
      <c r="C2" s="84" t="s">
        <v>49</v>
      </c>
      <c r="D2" s="84" t="s">
        <v>51</v>
      </c>
    </row>
    <row r="3" spans="1:4" x14ac:dyDescent="0.45">
      <c r="A3" s="85" t="s">
        <v>9</v>
      </c>
      <c r="B3" s="86">
        <f>SUMIF(Datastore!$I:$I,A3,Datastore!$P:$P)</f>
        <v>17070</v>
      </c>
      <c r="C3" s="82">
        <f>COUNTIF(Datastore!$I:$I,A3)</f>
        <v>6</v>
      </c>
      <c r="D3" s="86">
        <f>SUM(B3/C3)</f>
        <v>2845</v>
      </c>
    </row>
    <row r="4" spans="1:4" x14ac:dyDescent="0.45">
      <c r="A4" s="85" t="s">
        <v>11</v>
      </c>
      <c r="B4" s="86">
        <f>SUMIF(Datastore!$I:$I,A4,Datastore!$P:$P)</f>
        <v>4645</v>
      </c>
      <c r="C4" s="82">
        <f>COUNTIF(Datastore!$I:$I,A4)</f>
        <v>1</v>
      </c>
      <c r="D4" s="86">
        <f>SUM(B4/C4)</f>
        <v>4645</v>
      </c>
    </row>
  </sheetData>
  <mergeCells count="1">
    <mergeCell ref="A1:D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workbookViewId="0">
      <selection activeCell="A8" sqref="A8"/>
    </sheetView>
  </sheetViews>
  <sheetFormatPr defaultRowHeight="14.25" x14ac:dyDescent="0.45"/>
  <cols>
    <col min="1" max="1" width="14.86328125" customWidth="1"/>
    <col min="2" max="2" width="16.6640625" customWidth="1"/>
    <col min="3" max="3" width="20.46484375" customWidth="1"/>
    <col min="4" max="4" width="20.19921875" customWidth="1"/>
    <col min="5" max="5" width="15.796875" customWidth="1"/>
    <col min="6" max="6" width="10.33203125" customWidth="1"/>
    <col min="7" max="7" width="13.33203125" customWidth="1"/>
    <col min="8" max="8" width="14" style="1" customWidth="1"/>
    <col min="10" max="10" width="25.46484375" customWidth="1"/>
    <col min="11" max="12" width="12.46484375" customWidth="1"/>
    <col min="13" max="13" width="13.796875" customWidth="1"/>
    <col min="14" max="14" width="9.6640625" customWidth="1"/>
    <col min="15" max="15" width="13.3984375" customWidth="1"/>
    <col min="16" max="16" width="13.265625" customWidth="1"/>
  </cols>
  <sheetData>
    <row r="1" spans="1:17" ht="14.65" thickBot="1" x14ac:dyDescent="0.5">
      <c r="A1" s="56" t="s">
        <v>17</v>
      </c>
      <c r="B1" s="57" t="s">
        <v>3</v>
      </c>
      <c r="C1" s="57" t="s">
        <v>2</v>
      </c>
      <c r="D1" s="57" t="s">
        <v>1</v>
      </c>
      <c r="E1" s="57" t="s">
        <v>26</v>
      </c>
      <c r="F1" s="57" t="s">
        <v>4</v>
      </c>
      <c r="G1" s="57" t="s">
        <v>27</v>
      </c>
      <c r="H1" s="60" t="s">
        <v>18</v>
      </c>
      <c r="I1" s="57" t="s">
        <v>10</v>
      </c>
      <c r="J1" s="58" t="s">
        <v>28</v>
      </c>
      <c r="K1" s="87" t="s">
        <v>43</v>
      </c>
      <c r="L1" s="87" t="s">
        <v>53</v>
      </c>
      <c r="M1" s="87" t="s">
        <v>45</v>
      </c>
      <c r="N1" s="87" t="s">
        <v>46</v>
      </c>
      <c r="O1" s="88" t="s">
        <v>52</v>
      </c>
      <c r="P1" s="129" t="s">
        <v>19</v>
      </c>
      <c r="Q1" s="185" t="s">
        <v>12</v>
      </c>
    </row>
    <row r="2" spans="1:17" x14ac:dyDescent="0.45">
      <c r="A2" s="54">
        <v>7</v>
      </c>
      <c r="B2" s="54" t="s">
        <v>108</v>
      </c>
      <c r="C2" s="54" t="s">
        <v>109</v>
      </c>
      <c r="D2" s="54" t="s">
        <v>111</v>
      </c>
      <c r="E2" s="54" t="s">
        <v>112</v>
      </c>
      <c r="F2" s="54">
        <v>7892</v>
      </c>
      <c r="G2" s="54" t="s">
        <v>77</v>
      </c>
      <c r="H2" s="49">
        <v>37161</v>
      </c>
      <c r="I2" s="54" t="s">
        <v>9</v>
      </c>
      <c r="J2" s="54" t="s">
        <v>33</v>
      </c>
      <c r="K2" s="184" t="s">
        <v>110</v>
      </c>
      <c r="L2" s="184">
        <v>2326</v>
      </c>
      <c r="M2" s="184" t="s">
        <v>58</v>
      </c>
      <c r="N2" s="184">
        <v>1</v>
      </c>
      <c r="O2" s="184" t="s">
        <v>54</v>
      </c>
      <c r="P2" s="50">
        <v>2545</v>
      </c>
      <c r="Q2" s="184">
        <v>16</v>
      </c>
    </row>
    <row r="3" spans="1:17" x14ac:dyDescent="0.45">
      <c r="A3" s="54">
        <v>6</v>
      </c>
      <c r="B3" s="54" t="s">
        <v>15</v>
      </c>
      <c r="C3" s="54" t="s">
        <v>16</v>
      </c>
      <c r="D3" s="54" t="s">
        <v>107</v>
      </c>
      <c r="E3" s="54" t="s">
        <v>87</v>
      </c>
      <c r="F3" s="54">
        <v>2067</v>
      </c>
      <c r="G3" s="54" t="s">
        <v>76</v>
      </c>
      <c r="H3" s="49">
        <v>37375</v>
      </c>
      <c r="I3" s="54" t="s">
        <v>9</v>
      </c>
      <c r="J3" s="54" t="s">
        <v>33</v>
      </c>
      <c r="K3" s="184" t="s">
        <v>106</v>
      </c>
      <c r="L3" s="184">
        <v>20000</v>
      </c>
      <c r="M3" s="184" t="s">
        <v>58</v>
      </c>
      <c r="N3" s="184">
        <v>3</v>
      </c>
      <c r="O3" s="184" t="s">
        <v>54</v>
      </c>
      <c r="P3" s="50">
        <v>2645</v>
      </c>
      <c r="Q3" s="184">
        <v>16</v>
      </c>
    </row>
    <row r="4" spans="1:17" x14ac:dyDescent="0.45">
      <c r="A4" s="54">
        <v>5</v>
      </c>
      <c r="B4" s="54" t="s">
        <v>102</v>
      </c>
      <c r="C4" s="54" t="s">
        <v>103</v>
      </c>
      <c r="D4" s="54" t="s">
        <v>104</v>
      </c>
      <c r="E4" s="54" t="s">
        <v>105</v>
      </c>
      <c r="F4" s="54">
        <v>6969</v>
      </c>
      <c r="G4" s="54" t="s">
        <v>81</v>
      </c>
      <c r="H4" s="49">
        <v>37079</v>
      </c>
      <c r="I4" s="54" t="s">
        <v>11</v>
      </c>
      <c r="J4" s="54" t="s">
        <v>32</v>
      </c>
      <c r="K4" s="184">
        <v>696969</v>
      </c>
      <c r="L4" s="184">
        <v>6.9696969696969596E+53</v>
      </c>
      <c r="M4" s="184" t="s">
        <v>58</v>
      </c>
      <c r="N4" s="184">
        <v>69</v>
      </c>
      <c r="O4" s="184" t="s">
        <v>55</v>
      </c>
      <c r="P4" s="50">
        <v>4645</v>
      </c>
      <c r="Q4" s="184">
        <v>17</v>
      </c>
    </row>
    <row r="5" spans="1:17" x14ac:dyDescent="0.45">
      <c r="A5" s="54">
        <v>4</v>
      </c>
      <c r="B5" s="54" t="s">
        <v>94</v>
      </c>
      <c r="C5" s="54" t="s">
        <v>99</v>
      </c>
      <c r="D5" s="54" t="s">
        <v>101</v>
      </c>
      <c r="E5" s="54" t="s">
        <v>87</v>
      </c>
      <c r="F5" s="54">
        <v>2067</v>
      </c>
      <c r="G5" s="54" t="s">
        <v>76</v>
      </c>
      <c r="H5" s="49">
        <v>37054</v>
      </c>
      <c r="I5" s="54" t="s">
        <v>9</v>
      </c>
      <c r="J5" s="54" t="s">
        <v>29</v>
      </c>
      <c r="K5" s="184" t="s">
        <v>100</v>
      </c>
      <c r="L5" s="184">
        <v>28329</v>
      </c>
      <c r="M5" s="184" t="s">
        <v>59</v>
      </c>
      <c r="N5" s="184">
        <v>6</v>
      </c>
      <c r="O5" s="184" t="s">
        <v>54</v>
      </c>
      <c r="P5" s="50">
        <v>2795</v>
      </c>
      <c r="Q5" s="184">
        <v>17</v>
      </c>
    </row>
    <row r="6" spans="1:17" x14ac:dyDescent="0.45">
      <c r="A6" s="54">
        <v>3</v>
      </c>
      <c r="B6" s="54" t="s">
        <v>95</v>
      </c>
      <c r="C6" s="54" t="s">
        <v>96</v>
      </c>
      <c r="D6" s="54" t="s">
        <v>98</v>
      </c>
      <c r="E6" s="54" t="s">
        <v>87</v>
      </c>
      <c r="F6" s="54">
        <v>2067</v>
      </c>
      <c r="G6" s="54" t="s">
        <v>76</v>
      </c>
      <c r="H6" s="49">
        <v>37304</v>
      </c>
      <c r="I6" s="54" t="s">
        <v>9</v>
      </c>
      <c r="J6" s="54" t="s">
        <v>33</v>
      </c>
      <c r="K6" s="184" t="s">
        <v>97</v>
      </c>
      <c r="L6" s="184">
        <v>35273</v>
      </c>
      <c r="M6" s="184" t="s">
        <v>60</v>
      </c>
      <c r="N6" s="184">
        <v>6</v>
      </c>
      <c r="O6" s="184" t="s">
        <v>54</v>
      </c>
      <c r="P6" s="50">
        <v>3345</v>
      </c>
      <c r="Q6" s="184">
        <v>16</v>
      </c>
    </row>
    <row r="7" spans="1:17" x14ac:dyDescent="0.45">
      <c r="A7" s="54">
        <v>2</v>
      </c>
      <c r="B7" s="54" t="s">
        <v>89</v>
      </c>
      <c r="C7" s="54" t="s">
        <v>90</v>
      </c>
      <c r="D7" s="54" t="s">
        <v>92</v>
      </c>
      <c r="E7" s="54" t="s">
        <v>93</v>
      </c>
      <c r="F7" s="54">
        <v>2086</v>
      </c>
      <c r="G7" s="54" t="s">
        <v>76</v>
      </c>
      <c r="H7" s="49">
        <v>37221</v>
      </c>
      <c r="I7" s="54" t="s">
        <v>9</v>
      </c>
      <c r="J7" s="54" t="s">
        <v>29</v>
      </c>
      <c r="K7" s="184" t="s">
        <v>91</v>
      </c>
      <c r="L7" s="184">
        <v>87678</v>
      </c>
      <c r="M7" s="184" t="s">
        <v>59</v>
      </c>
      <c r="N7" s="184">
        <v>2</v>
      </c>
      <c r="O7" s="184" t="s">
        <v>57</v>
      </c>
      <c r="P7" s="50">
        <v>2095</v>
      </c>
      <c r="Q7" s="184">
        <v>16</v>
      </c>
    </row>
    <row r="8" spans="1:17" x14ac:dyDescent="0.45">
      <c r="A8" s="54">
        <v>1</v>
      </c>
      <c r="B8" s="54" t="s">
        <v>84</v>
      </c>
      <c r="C8" s="54" t="s">
        <v>85</v>
      </c>
      <c r="D8" s="54" t="s">
        <v>86</v>
      </c>
      <c r="E8" s="54" t="s">
        <v>87</v>
      </c>
      <c r="F8" s="54">
        <v>2067</v>
      </c>
      <c r="G8" s="54" t="s">
        <v>76</v>
      </c>
      <c r="H8" s="49">
        <v>34405</v>
      </c>
      <c r="I8" s="54" t="s">
        <v>9</v>
      </c>
      <c r="J8" s="54" t="s">
        <v>29</v>
      </c>
      <c r="K8" s="184" t="s">
        <v>88</v>
      </c>
      <c r="L8" s="184">
        <v>1231243421</v>
      </c>
      <c r="M8" s="184" t="s">
        <v>58</v>
      </c>
      <c r="N8" s="184">
        <v>12</v>
      </c>
      <c r="O8" s="184" t="s">
        <v>54</v>
      </c>
      <c r="P8" s="50">
        <v>3645</v>
      </c>
      <c r="Q8" s="184">
        <v>24</v>
      </c>
    </row>
    <row r="9" spans="1:17" x14ac:dyDescent="0.45">
      <c r="A9" s="54"/>
      <c r="B9" s="54"/>
      <c r="C9" s="54"/>
      <c r="D9" s="54"/>
      <c r="E9" s="54"/>
      <c r="F9" s="54"/>
      <c r="G9" s="54"/>
      <c r="H9" s="49"/>
      <c r="I9" s="54"/>
      <c r="J9" s="54"/>
      <c r="P9" s="50"/>
      <c r="Q9" s="2"/>
    </row>
    <row r="10" spans="1:17" x14ac:dyDescent="0.45">
      <c r="A10" s="54"/>
      <c r="B10" s="54"/>
      <c r="C10" s="54"/>
      <c r="D10" s="54"/>
      <c r="E10" s="54"/>
      <c r="F10" s="54"/>
      <c r="G10" s="54"/>
      <c r="H10" s="49"/>
      <c r="I10" s="54"/>
      <c r="J10" s="54"/>
      <c r="P10" s="50"/>
      <c r="Q10" s="2"/>
    </row>
    <row r="11" spans="1:17" x14ac:dyDescent="0.45">
      <c r="A11" s="54"/>
      <c r="B11" s="54"/>
      <c r="C11" s="54"/>
      <c r="D11" s="54"/>
      <c r="E11" s="54"/>
      <c r="F11" s="54"/>
      <c r="G11" s="54"/>
      <c r="H11" s="49"/>
      <c r="I11" s="54"/>
      <c r="J11" s="54"/>
      <c r="P11" s="50"/>
      <c r="Q11" s="2"/>
    </row>
    <row r="12" spans="1:17" x14ac:dyDescent="0.45">
      <c r="A12" s="54"/>
      <c r="B12" s="50"/>
      <c r="C12" s="50"/>
      <c r="D12" s="50"/>
      <c r="E12" s="50"/>
      <c r="F12" s="54"/>
      <c r="G12" s="50"/>
      <c r="H12" s="49"/>
      <c r="I12" s="50"/>
      <c r="J12" s="50"/>
      <c r="K12" s="50"/>
      <c r="M12" s="50"/>
      <c r="O12" s="50"/>
      <c r="P12" s="51"/>
      <c r="Q12" s="2"/>
    </row>
    <row r="13" spans="1:17" x14ac:dyDescent="0.45">
      <c r="A13" s="55"/>
      <c r="B13" s="52"/>
      <c r="C13" s="52"/>
      <c r="D13" s="52"/>
      <c r="E13" s="52"/>
      <c r="F13" s="55"/>
      <c r="G13" s="52"/>
      <c r="H13" s="3"/>
      <c r="I13" s="52"/>
      <c r="J13" s="52"/>
      <c r="P13" s="53"/>
      <c r="Q13" s="2"/>
    </row>
    <row r="14" spans="1:17" x14ac:dyDescent="0.45">
      <c r="A14" s="55"/>
      <c r="B14" s="52"/>
      <c r="C14" s="52"/>
      <c r="D14" s="52"/>
      <c r="E14" s="52"/>
      <c r="F14" s="55"/>
      <c r="G14" s="52"/>
      <c r="H14" s="3"/>
      <c r="I14" s="52"/>
      <c r="J14" s="52"/>
      <c r="P14" s="53"/>
      <c r="Q14" s="2"/>
    </row>
    <row r="15" spans="1:17" x14ac:dyDescent="0.45">
      <c r="A15" s="55"/>
      <c r="B15" s="52"/>
      <c r="C15" s="52"/>
      <c r="D15" s="52"/>
      <c r="E15" s="52"/>
      <c r="F15" s="55"/>
      <c r="G15" s="52"/>
      <c r="H15" s="3"/>
      <c r="I15" s="52"/>
      <c r="J15" s="52"/>
      <c r="P15" s="53"/>
      <c r="Q15" s="2"/>
    </row>
    <row r="16" spans="1:17" x14ac:dyDescent="0.45">
      <c r="A16" s="55"/>
      <c r="B16" s="52"/>
      <c r="C16" s="52"/>
      <c r="D16" s="52"/>
      <c r="E16" s="52"/>
      <c r="F16" s="55"/>
      <c r="G16" s="52"/>
      <c r="H16" s="3"/>
      <c r="I16" s="52"/>
      <c r="J16" s="52"/>
      <c r="P16" s="53"/>
      <c r="Q16" s="2"/>
    </row>
    <row r="17" spans="1:17" x14ac:dyDescent="0.45">
      <c r="A17" s="55"/>
      <c r="B17" s="52"/>
      <c r="C17" s="52"/>
      <c r="D17" s="52"/>
      <c r="E17" s="52"/>
      <c r="F17" s="55"/>
      <c r="G17" s="52"/>
      <c r="H17" s="3"/>
      <c r="I17" s="52"/>
      <c r="J17" s="52"/>
      <c r="P17" s="53"/>
      <c r="Q17" s="2"/>
    </row>
    <row r="18" spans="1:17" x14ac:dyDescent="0.45">
      <c r="A18" s="55"/>
      <c r="B18" s="52"/>
      <c r="C18" s="52"/>
      <c r="D18" s="52"/>
      <c r="E18" s="52"/>
      <c r="F18" s="55"/>
      <c r="G18" s="52"/>
      <c r="H18" s="3"/>
      <c r="I18" s="52"/>
      <c r="J18" s="52"/>
      <c r="P18" s="53"/>
      <c r="Q18" s="2"/>
    </row>
    <row r="19" spans="1:17" x14ac:dyDescent="0.45">
      <c r="A19" s="55"/>
      <c r="B19" s="52"/>
      <c r="C19" s="52"/>
      <c r="D19" s="52"/>
      <c r="E19" s="52"/>
      <c r="F19" s="55"/>
      <c r="G19" s="52"/>
      <c r="H19" s="3"/>
      <c r="I19" s="52"/>
      <c r="J19" s="52"/>
      <c r="P19" s="53"/>
      <c r="Q19" s="2"/>
    </row>
    <row r="21" spans="1:17" x14ac:dyDescent="0.45">
      <c r="A21" s="2"/>
      <c r="B21" s="2"/>
      <c r="C21" s="2"/>
      <c r="D21" s="2"/>
      <c r="E21" s="2"/>
      <c r="F21" s="2"/>
      <c r="G21" s="2"/>
      <c r="H21" s="3"/>
      <c r="I21" s="2"/>
      <c r="J21" s="2"/>
    </row>
    <row r="22" spans="1:17" x14ac:dyDescent="0.45">
      <c r="A22" s="2"/>
      <c r="B22" s="2"/>
      <c r="C22" s="2"/>
      <c r="D22" s="2"/>
      <c r="E22" s="2"/>
      <c r="F22" s="2"/>
      <c r="G22" s="2"/>
      <c r="H22" s="3"/>
      <c r="I22" s="2"/>
      <c r="J22" s="2"/>
    </row>
    <row r="23" spans="1:17" x14ac:dyDescent="0.45">
      <c r="A23" s="2"/>
      <c r="B23" s="2"/>
      <c r="C23" s="2"/>
      <c r="D23" s="2"/>
      <c r="E23" s="2"/>
      <c r="F23" s="2"/>
      <c r="G23" s="2"/>
      <c r="H23" s="3"/>
      <c r="I23" s="2"/>
      <c r="J23" s="2"/>
    </row>
    <row r="24" spans="1:17" x14ac:dyDescent="0.45">
      <c r="A24" s="2"/>
      <c r="B24" s="2"/>
      <c r="C24" s="2"/>
      <c r="D24" s="2"/>
      <c r="E24" s="2"/>
      <c r="F24" s="2"/>
      <c r="G24" s="2"/>
      <c r="H24" s="3"/>
      <c r="I24" s="2"/>
      <c r="J24" s="2"/>
    </row>
    <row r="25" spans="1:17" x14ac:dyDescent="0.45">
      <c r="A25" s="2"/>
      <c r="B25" s="2"/>
      <c r="C25" s="2"/>
      <c r="D25" s="2"/>
      <c r="E25" s="2"/>
      <c r="F25" s="2"/>
      <c r="G25" s="2"/>
      <c r="H25" s="3"/>
      <c r="I25" s="2"/>
      <c r="J25" s="2"/>
    </row>
    <row r="26" spans="1:17" x14ac:dyDescent="0.45">
      <c r="A26" s="2"/>
      <c r="B26" s="2"/>
      <c r="C26" s="2"/>
      <c r="D26" s="2"/>
      <c r="E26" s="2"/>
      <c r="F26" s="2"/>
      <c r="G26" s="2"/>
      <c r="H26" s="3"/>
      <c r="I26" s="2"/>
      <c r="J26" s="2"/>
    </row>
    <row r="27" spans="1:17" x14ac:dyDescent="0.45">
      <c r="A27" s="2"/>
      <c r="B27" s="2"/>
      <c r="C27" s="2"/>
      <c r="D27" s="2"/>
      <c r="E27" s="2"/>
      <c r="F27" s="2"/>
      <c r="G27" s="2"/>
      <c r="H27" s="3"/>
      <c r="I27" s="2"/>
      <c r="J27" s="2"/>
    </row>
    <row r="28" spans="1:17" x14ac:dyDescent="0.45">
      <c r="A28" s="2"/>
      <c r="B28" s="2"/>
      <c r="C28" s="2"/>
      <c r="D28" s="2"/>
      <c r="E28" s="2"/>
      <c r="F28" s="2"/>
      <c r="G28" s="2"/>
      <c r="H28" s="3"/>
      <c r="I28" s="2"/>
      <c r="J28" s="2"/>
    </row>
    <row r="29" spans="1:17" x14ac:dyDescent="0.45">
      <c r="A29" s="2"/>
      <c r="B29" s="2"/>
      <c r="C29" s="2"/>
      <c r="D29" s="2"/>
      <c r="E29" s="2"/>
      <c r="F29" s="2"/>
      <c r="G29" s="2"/>
      <c r="H29" s="3"/>
      <c r="I29" s="2"/>
      <c r="J29" s="2"/>
    </row>
    <row r="30" spans="1:17" x14ac:dyDescent="0.45">
      <c r="A30" s="2"/>
      <c r="B30" s="2"/>
      <c r="C30" s="2"/>
      <c r="D30" s="2"/>
      <c r="E30" s="2"/>
      <c r="F30" s="2"/>
      <c r="G30" s="2"/>
      <c r="H30" s="3"/>
      <c r="I30" s="2"/>
      <c r="J30" s="2"/>
    </row>
    <row r="31" spans="1:17" x14ac:dyDescent="0.45">
      <c r="A31" s="2"/>
      <c r="B31" s="2"/>
      <c r="C31" s="2"/>
      <c r="D31" s="2"/>
      <c r="E31" s="2"/>
      <c r="F31" s="2"/>
      <c r="G31" s="2"/>
      <c r="H31" s="3"/>
      <c r="I31" s="2"/>
      <c r="J31" s="2"/>
    </row>
    <row r="32" spans="1:17" x14ac:dyDescent="0.45">
      <c r="A32" s="2"/>
      <c r="B32" s="2"/>
      <c r="C32" s="2"/>
      <c r="D32" s="2"/>
      <c r="E32" s="2"/>
      <c r="F32" s="2"/>
      <c r="G32" s="2"/>
      <c r="H32" s="3"/>
      <c r="I32" s="2"/>
      <c r="J32" s="2"/>
    </row>
    <row r="33" spans="1:10" x14ac:dyDescent="0.45">
      <c r="A33" s="2"/>
      <c r="B33" s="2"/>
      <c r="C33" s="2"/>
      <c r="D33" s="2"/>
      <c r="E33" s="2"/>
      <c r="F33" s="2"/>
      <c r="G33" s="2"/>
      <c r="H33" s="3"/>
      <c r="I33" s="2"/>
      <c r="J33" s="2"/>
    </row>
    <row r="34" spans="1:10" x14ac:dyDescent="0.45">
      <c r="A34" s="2"/>
      <c r="B34" s="2"/>
      <c r="C34" s="2"/>
      <c r="D34" s="2"/>
      <c r="E34" s="2"/>
      <c r="F34" s="2"/>
      <c r="G34" s="2"/>
      <c r="H34" s="3"/>
      <c r="I34" s="2"/>
      <c r="J34" s="2"/>
    </row>
    <row r="35" spans="1:10" x14ac:dyDescent="0.45">
      <c r="A35" s="2"/>
      <c r="B35" s="2"/>
      <c r="C35" s="2"/>
      <c r="D35" s="2"/>
      <c r="E35" s="2"/>
      <c r="F35" s="2"/>
      <c r="G35" s="2"/>
      <c r="H35" s="3"/>
      <c r="I35" s="2"/>
      <c r="J35" s="2"/>
    </row>
    <row r="36" spans="1:10" x14ac:dyDescent="0.45">
      <c r="A36" s="2"/>
      <c r="B36" s="2"/>
      <c r="C36" s="2"/>
      <c r="D36" s="2"/>
      <c r="E36" s="2"/>
      <c r="F36" s="2"/>
      <c r="G36" s="2"/>
      <c r="H36" s="3"/>
      <c r="I36" s="2"/>
      <c r="J36" s="2"/>
    </row>
    <row r="37" spans="1:10" x14ac:dyDescent="0.45">
      <c r="A37" s="2"/>
      <c r="B37" s="2"/>
      <c r="C37" s="2"/>
      <c r="D37" s="2"/>
      <c r="E37" s="2"/>
      <c r="F37" s="2"/>
      <c r="G37" s="2"/>
      <c r="H37" s="3"/>
      <c r="I37" s="2"/>
      <c r="J37" s="2"/>
    </row>
    <row r="38" spans="1:10" x14ac:dyDescent="0.45">
      <c r="A38" s="2"/>
      <c r="B38" s="2"/>
      <c r="C38" s="2"/>
      <c r="D38" s="2"/>
      <c r="E38" s="2"/>
      <c r="F38" s="2"/>
      <c r="G38" s="2"/>
      <c r="H38" s="3"/>
      <c r="I38" s="2"/>
      <c r="J38" s="2"/>
    </row>
    <row r="39" spans="1:10" x14ac:dyDescent="0.45">
      <c r="A39" s="2"/>
      <c r="B39" s="2"/>
      <c r="C39" s="2"/>
      <c r="D39" s="2"/>
      <c r="E39" s="2"/>
      <c r="F39" s="2"/>
      <c r="G39" s="2"/>
      <c r="H39" s="3"/>
      <c r="I39" s="2"/>
      <c r="J39" s="2"/>
    </row>
    <row r="40" spans="1:10" x14ac:dyDescent="0.45">
      <c r="A40" s="2"/>
      <c r="B40" s="2"/>
      <c r="C40" s="2"/>
      <c r="D40" s="2"/>
      <c r="E40" s="2"/>
      <c r="F40" s="2"/>
      <c r="G40" s="2"/>
      <c r="H40" s="3"/>
      <c r="I40" s="2"/>
      <c r="J40" s="2"/>
    </row>
    <row r="41" spans="1:10" x14ac:dyDescent="0.45">
      <c r="A41" s="2"/>
      <c r="B41" s="2"/>
      <c r="C41" s="2"/>
      <c r="D41" s="2"/>
      <c r="E41" s="2"/>
      <c r="F41" s="2"/>
      <c r="G41" s="2"/>
      <c r="H41" s="3"/>
      <c r="I41" s="2"/>
      <c r="J41" s="2"/>
    </row>
    <row r="42" spans="1:10" x14ac:dyDescent="0.45">
      <c r="A42" s="2"/>
      <c r="B42" s="2"/>
      <c r="C42" s="2"/>
      <c r="D42" s="2"/>
      <c r="E42" s="2"/>
      <c r="F42" s="2"/>
      <c r="G42" s="2"/>
      <c r="H42" s="3"/>
      <c r="I42" s="2"/>
      <c r="J42" s="2"/>
    </row>
    <row r="43" spans="1:10" x14ac:dyDescent="0.45">
      <c r="A43" s="2"/>
      <c r="B43" s="2"/>
      <c r="C43" s="2"/>
      <c r="D43" s="2"/>
      <c r="E43" s="2"/>
      <c r="F43" s="2"/>
      <c r="G43" s="2"/>
      <c r="H43" s="3"/>
      <c r="I43" s="2"/>
      <c r="J43" s="2"/>
    </row>
    <row r="44" spans="1:10" x14ac:dyDescent="0.45">
      <c r="A44" s="2"/>
      <c r="B44" s="2"/>
      <c r="C44" s="2"/>
      <c r="D44" s="2"/>
      <c r="E44" s="2"/>
      <c r="F44" s="2"/>
      <c r="G44" s="2"/>
      <c r="H44" s="3"/>
      <c r="I44" s="2"/>
      <c r="J44" s="2"/>
    </row>
    <row r="45" spans="1:10" x14ac:dyDescent="0.45">
      <c r="A45" s="2"/>
      <c r="B45" s="2"/>
      <c r="C45" s="2"/>
      <c r="D45" s="2"/>
      <c r="E45" s="2"/>
      <c r="F45" s="2"/>
      <c r="G45" s="2"/>
      <c r="H45" s="3"/>
      <c r="I45" s="2"/>
      <c r="J45" s="2"/>
    </row>
    <row r="46" spans="1:10" x14ac:dyDescent="0.45">
      <c r="A46" s="2"/>
      <c r="B46" s="2"/>
      <c r="C46" s="2"/>
      <c r="D46" s="2"/>
      <c r="E46" s="2"/>
      <c r="F46" s="2"/>
      <c r="G46" s="2"/>
      <c r="H46" s="3"/>
      <c r="I46" s="2"/>
      <c r="J46" s="2"/>
    </row>
    <row r="47" spans="1:10" x14ac:dyDescent="0.45">
      <c r="A47" s="2"/>
      <c r="B47" s="2"/>
      <c r="C47" s="2"/>
      <c r="D47" s="2"/>
      <c r="E47" s="2"/>
      <c r="F47" s="2"/>
      <c r="G47" s="2"/>
      <c r="H47" s="3"/>
      <c r="I47" s="2"/>
      <c r="J47" s="2"/>
    </row>
    <row r="48" spans="1:10" x14ac:dyDescent="0.45">
      <c r="A48" s="2"/>
      <c r="B48" s="2"/>
      <c r="C48" s="2"/>
      <c r="D48" s="2"/>
      <c r="E48" s="2"/>
      <c r="F48" s="2"/>
      <c r="G48" s="2"/>
      <c r="H48" s="3"/>
      <c r="I48" s="2"/>
      <c r="J48" s="2"/>
    </row>
    <row r="49" spans="1:10" x14ac:dyDescent="0.45">
      <c r="A49" s="2"/>
      <c r="B49" s="2"/>
      <c r="C49" s="2"/>
      <c r="D49" s="2"/>
      <c r="E49" s="2"/>
      <c r="F49" s="2"/>
      <c r="G49" s="2"/>
      <c r="H49" s="3"/>
      <c r="I49" s="2"/>
      <c r="J49" s="2"/>
    </row>
    <row r="50" spans="1:10" x14ac:dyDescent="0.45">
      <c r="A50" s="2"/>
      <c r="B50" s="2"/>
      <c r="C50" s="2"/>
      <c r="D50" s="2"/>
      <c r="E50" s="2"/>
      <c r="F50" s="2"/>
      <c r="G50" s="2"/>
      <c r="H50" s="3"/>
      <c r="I50" s="2"/>
      <c r="J50" s="2"/>
    </row>
    <row r="51" spans="1:10" x14ac:dyDescent="0.45">
      <c r="A51" s="2"/>
      <c r="B51" s="2"/>
      <c r="C51" s="2"/>
      <c r="D51" s="2"/>
      <c r="E51" s="2"/>
      <c r="F51" s="2"/>
      <c r="G51" s="2"/>
      <c r="H51" s="3"/>
      <c r="I51" s="2"/>
      <c r="J51" s="2"/>
    </row>
    <row r="52" spans="1:10" x14ac:dyDescent="0.45">
      <c r="A52" s="2"/>
      <c r="B52" s="2"/>
      <c r="C52" s="2"/>
      <c r="D52" s="2"/>
      <c r="E52" s="2"/>
      <c r="F52" s="2"/>
      <c r="G52" s="2"/>
      <c r="H52" s="3"/>
      <c r="I52" s="2"/>
      <c r="J52" s="2"/>
    </row>
    <row r="53" spans="1:10" x14ac:dyDescent="0.45">
      <c r="A53" s="2"/>
      <c r="B53" s="2"/>
      <c r="C53" s="2"/>
      <c r="D53" s="2"/>
      <c r="E53" s="2"/>
      <c r="F53" s="2"/>
      <c r="G53" s="2"/>
      <c r="H53" s="3"/>
      <c r="I53" s="2"/>
      <c r="J53" s="2"/>
    </row>
    <row r="54" spans="1:10" x14ac:dyDescent="0.45">
      <c r="A54" s="2"/>
      <c r="B54" s="2"/>
      <c r="C54" s="2"/>
      <c r="D54" s="2"/>
      <c r="E54" s="2"/>
      <c r="F54" s="2"/>
      <c r="G54" s="2"/>
      <c r="H54" s="3"/>
      <c r="I54" s="2"/>
      <c r="J54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5"/>
  <sheetViews>
    <sheetView workbookViewId="0">
      <selection activeCell="B2" sqref="B2"/>
    </sheetView>
  </sheetViews>
  <sheetFormatPr defaultRowHeight="14.25" x14ac:dyDescent="0.45"/>
  <cols>
    <col min="1" max="1" width="14.6640625" customWidth="1"/>
    <col min="3" max="3" width="12.33203125" customWidth="1"/>
    <col min="18" max="18" width="5.73046875" customWidth="1"/>
    <col min="19" max="19" width="18.46484375" customWidth="1"/>
    <col min="22" max="22" width="26.796875" customWidth="1"/>
    <col min="25" max="25" width="14.265625" customWidth="1"/>
  </cols>
  <sheetData>
    <row r="1" spans="1:26" ht="14.65" thickBot="1" x14ac:dyDescent="0.5">
      <c r="H1" s="27"/>
      <c r="I1" s="70" t="s">
        <v>13</v>
      </c>
      <c r="J1" s="71" t="s">
        <v>14</v>
      </c>
      <c r="L1" s="67" t="s">
        <v>20</v>
      </c>
      <c r="M1" s="68" t="s">
        <v>21</v>
      </c>
      <c r="N1" s="69" t="s">
        <v>22</v>
      </c>
      <c r="P1" s="108" t="s">
        <v>28</v>
      </c>
      <c r="Q1" s="109" t="s">
        <v>14</v>
      </c>
      <c r="S1" s="176" t="s">
        <v>34</v>
      </c>
      <c r="T1" s="177" t="s">
        <v>14</v>
      </c>
      <c r="V1" s="89" t="s">
        <v>47</v>
      </c>
      <c r="W1" s="90" t="s">
        <v>14</v>
      </c>
      <c r="Y1" s="97" t="s">
        <v>45</v>
      </c>
      <c r="Z1" s="98" t="s">
        <v>14</v>
      </c>
    </row>
    <row r="2" spans="1:26" x14ac:dyDescent="0.45">
      <c r="A2" s="44" t="s">
        <v>6</v>
      </c>
      <c r="B2" s="45">
        <v>8</v>
      </c>
      <c r="C2" s="40" t="s">
        <v>8</v>
      </c>
      <c r="D2" s="41">
        <v>500</v>
      </c>
      <c r="E2" s="34" t="s">
        <v>10</v>
      </c>
      <c r="F2" s="35" t="s">
        <v>9</v>
      </c>
      <c r="G2" s="36">
        <v>0.3</v>
      </c>
      <c r="H2" s="28" t="s">
        <v>12</v>
      </c>
      <c r="I2" s="26">
        <v>16</v>
      </c>
      <c r="J2" s="29">
        <v>0.09</v>
      </c>
      <c r="L2" s="62" t="s">
        <v>23</v>
      </c>
      <c r="M2" s="15" t="s">
        <v>23</v>
      </c>
      <c r="N2" s="63" t="s">
        <v>23</v>
      </c>
      <c r="P2" s="110" t="s">
        <v>29</v>
      </c>
      <c r="Q2" s="111">
        <v>0.1</v>
      </c>
      <c r="S2" s="174">
        <v>0</v>
      </c>
      <c r="T2" s="175">
        <v>0.1</v>
      </c>
      <c r="V2" s="91" t="s">
        <v>54</v>
      </c>
      <c r="W2" s="92">
        <v>2.2999999999999998</v>
      </c>
      <c r="Y2" s="116" t="s">
        <v>58</v>
      </c>
      <c r="Z2" s="99">
        <v>0.2</v>
      </c>
    </row>
    <row r="3" spans="1:26" ht="14.65" thickBot="1" x14ac:dyDescent="0.5">
      <c r="A3" s="46" t="s">
        <v>7</v>
      </c>
      <c r="B3" s="47">
        <f>B2+1</f>
        <v>9</v>
      </c>
      <c r="C3" s="42"/>
      <c r="D3" s="43"/>
      <c r="E3" s="37"/>
      <c r="F3" s="38" t="s">
        <v>11</v>
      </c>
      <c r="G3" s="39">
        <v>0.1</v>
      </c>
      <c r="H3" s="30"/>
      <c r="I3" s="26">
        <v>35</v>
      </c>
      <c r="J3" s="29">
        <v>0.1</v>
      </c>
      <c r="L3" s="64" t="s">
        <v>24</v>
      </c>
      <c r="M3" s="65" t="s">
        <v>25</v>
      </c>
      <c r="N3" s="66" t="s">
        <v>24</v>
      </c>
      <c r="P3" s="112" t="s">
        <v>30</v>
      </c>
      <c r="Q3" s="113">
        <v>0.2</v>
      </c>
      <c r="S3" s="104">
        <v>10000</v>
      </c>
      <c r="T3" s="105">
        <v>0.2</v>
      </c>
      <c r="V3" s="93" t="s">
        <v>55</v>
      </c>
      <c r="W3" s="94">
        <v>1.7</v>
      </c>
      <c r="Y3" s="100" t="s">
        <v>59</v>
      </c>
      <c r="Z3" s="101">
        <v>0.7</v>
      </c>
    </row>
    <row r="4" spans="1:26" ht="14.65" thickBot="1" x14ac:dyDescent="0.5">
      <c r="H4" s="30"/>
      <c r="I4" s="26">
        <v>60</v>
      </c>
      <c r="J4" s="29">
        <v>0.5</v>
      </c>
      <c r="P4" s="112" t="s">
        <v>61</v>
      </c>
      <c r="Q4" s="113">
        <v>0.3</v>
      </c>
      <c r="S4" s="104">
        <v>50000</v>
      </c>
      <c r="T4" s="105">
        <v>0.5</v>
      </c>
      <c r="V4" s="93" t="s">
        <v>56</v>
      </c>
      <c r="W4" s="94">
        <v>1.2</v>
      </c>
      <c r="Y4" s="102" t="s">
        <v>60</v>
      </c>
      <c r="Z4" s="103">
        <v>1.2</v>
      </c>
    </row>
    <row r="5" spans="1:26" ht="14.65" thickBot="1" x14ac:dyDescent="0.5">
      <c r="H5" s="31"/>
      <c r="I5" s="32">
        <v>100</v>
      </c>
      <c r="J5" s="33">
        <v>0.8</v>
      </c>
      <c r="P5" s="112" t="s">
        <v>31</v>
      </c>
      <c r="Q5" s="113">
        <v>0.4</v>
      </c>
      <c r="S5" s="104">
        <v>80000</v>
      </c>
      <c r="T5" s="105">
        <v>0.9</v>
      </c>
      <c r="V5" s="95" t="s">
        <v>57</v>
      </c>
      <c r="W5" s="96">
        <v>0.9</v>
      </c>
    </row>
    <row r="6" spans="1:26" ht="14.65" thickBot="1" x14ac:dyDescent="0.5">
      <c r="I6" s="147"/>
      <c r="P6" s="112" t="s">
        <v>33</v>
      </c>
      <c r="Q6" s="113">
        <v>0.7</v>
      </c>
      <c r="S6" s="104">
        <v>140000</v>
      </c>
      <c r="T6" s="105">
        <v>1.3</v>
      </c>
    </row>
    <row r="7" spans="1:26" ht="14.65" thickBot="1" x14ac:dyDescent="0.5">
      <c r="E7" s="178" t="s">
        <v>27</v>
      </c>
      <c r="F7" s="179" t="s">
        <v>14</v>
      </c>
      <c r="H7" s="148"/>
      <c r="I7" s="149" t="s">
        <v>13</v>
      </c>
      <c r="J7" s="150" t="s">
        <v>14</v>
      </c>
      <c r="P7" s="114" t="s">
        <v>32</v>
      </c>
      <c r="Q7" s="115">
        <v>1.8</v>
      </c>
      <c r="S7" s="104">
        <v>220000</v>
      </c>
      <c r="T7" s="105">
        <v>1.6</v>
      </c>
    </row>
    <row r="8" spans="1:26" x14ac:dyDescent="0.45">
      <c r="E8" s="93" t="s">
        <v>76</v>
      </c>
      <c r="F8" s="94">
        <v>0.1</v>
      </c>
      <c r="H8" s="151" t="s">
        <v>46</v>
      </c>
      <c r="I8" s="152">
        <v>0</v>
      </c>
      <c r="J8" s="153">
        <v>0.1</v>
      </c>
      <c r="S8" s="104">
        <v>380000</v>
      </c>
      <c r="T8" s="105">
        <v>1.8</v>
      </c>
    </row>
    <row r="9" spans="1:26" ht="14.65" thickBot="1" x14ac:dyDescent="0.5">
      <c r="E9" s="93" t="s">
        <v>83</v>
      </c>
      <c r="F9" s="94">
        <v>0.6</v>
      </c>
      <c r="H9" s="154"/>
      <c r="I9" s="152">
        <v>3</v>
      </c>
      <c r="J9" s="153">
        <v>0.4</v>
      </c>
      <c r="S9" s="106">
        <v>500000</v>
      </c>
      <c r="T9" s="107">
        <v>2</v>
      </c>
    </row>
    <row r="10" spans="1:26" x14ac:dyDescent="0.45">
      <c r="E10" s="93" t="s">
        <v>77</v>
      </c>
      <c r="F10" s="94">
        <v>0.3</v>
      </c>
      <c r="H10" s="154"/>
      <c r="I10" s="152">
        <v>6</v>
      </c>
      <c r="J10" s="153">
        <v>0.8</v>
      </c>
    </row>
    <row r="11" spans="1:26" x14ac:dyDescent="0.45">
      <c r="E11" s="93" t="s">
        <v>78</v>
      </c>
      <c r="F11" s="94">
        <v>0.2</v>
      </c>
      <c r="H11" s="154"/>
      <c r="I11" s="152">
        <v>8</v>
      </c>
      <c r="J11" s="153">
        <v>0.9</v>
      </c>
    </row>
    <row r="12" spans="1:26" x14ac:dyDescent="0.45">
      <c r="E12" s="93" t="s">
        <v>79</v>
      </c>
      <c r="F12" s="94">
        <v>0.4</v>
      </c>
      <c r="H12" s="154"/>
      <c r="I12" s="152">
        <v>10</v>
      </c>
      <c r="J12" s="153">
        <v>1.2</v>
      </c>
    </row>
    <row r="13" spans="1:26" x14ac:dyDescent="0.45">
      <c r="E13" s="93" t="s">
        <v>80</v>
      </c>
      <c r="F13" s="94">
        <v>0.5</v>
      </c>
      <c r="H13" s="154"/>
      <c r="I13" s="152">
        <v>20</v>
      </c>
      <c r="J13" s="153">
        <v>1.8</v>
      </c>
    </row>
    <row r="14" spans="1:26" ht="14.65" thickBot="1" x14ac:dyDescent="0.5">
      <c r="E14" s="93" t="s">
        <v>81</v>
      </c>
      <c r="F14" s="94">
        <v>0.6</v>
      </c>
      <c r="H14" s="155"/>
      <c r="I14" s="156">
        <v>100</v>
      </c>
      <c r="J14" s="157">
        <v>3</v>
      </c>
    </row>
    <row r="15" spans="1:26" ht="14.65" thickBot="1" x14ac:dyDescent="0.5">
      <c r="E15" s="95" t="s">
        <v>82</v>
      </c>
      <c r="F15" s="96">
        <v>0.7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62</vt:i4>
      </vt:variant>
    </vt:vector>
  </HeadingPairs>
  <TitlesOfParts>
    <vt:vector size="71" baseType="lpstr">
      <vt:lpstr>Login</vt:lpstr>
      <vt:lpstr>Admin Menu</vt:lpstr>
      <vt:lpstr>User Menu</vt:lpstr>
      <vt:lpstr>User Menu NT</vt:lpstr>
      <vt:lpstr>Input</vt:lpstr>
      <vt:lpstr>Quote Summary</vt:lpstr>
      <vt:lpstr>Analysis</vt:lpstr>
      <vt:lpstr>Datastore</vt:lpstr>
      <vt:lpstr>Lookup</vt:lpstr>
      <vt:lpstr>age</vt:lpstr>
      <vt:lpstr>ageCalc</vt:lpstr>
      <vt:lpstr>ageErrMsg</vt:lpstr>
      <vt:lpstr>ageTable</vt:lpstr>
      <vt:lpstr>carAgeErr</vt:lpstr>
      <vt:lpstr>carAgeFactor</vt:lpstr>
      <vt:lpstr>carAgeNumber</vt:lpstr>
      <vt:lpstr>carTypeErrMsg</vt:lpstr>
      <vt:lpstr>carTypeFactor</vt:lpstr>
      <vt:lpstr>carTypeLU</vt:lpstr>
      <vt:lpstr>carTypeModel</vt:lpstr>
      <vt:lpstr>DOB</vt:lpstr>
      <vt:lpstr>DOBErrMsg</vt:lpstr>
      <vt:lpstr>firstName</vt:lpstr>
      <vt:lpstr>firstNameErrMsg</vt:lpstr>
      <vt:lpstr>genderErrMsg</vt:lpstr>
      <vt:lpstr>genderInput</vt:lpstr>
      <vt:lpstr>genderLU</vt:lpstr>
      <vt:lpstr>genderTable</vt:lpstr>
      <vt:lpstr>getQuoteNo</vt:lpstr>
      <vt:lpstr>insuranceTypeFactor</vt:lpstr>
      <vt:lpstr>insuranceTypeLU</vt:lpstr>
      <vt:lpstr>licensePlateErr</vt:lpstr>
      <vt:lpstr>licensePlateNumber</vt:lpstr>
      <vt:lpstr>loginLU</vt:lpstr>
      <vt:lpstr>loginMsg</vt:lpstr>
      <vt:lpstr>loginStatus</vt:lpstr>
      <vt:lpstr>maxAge</vt:lpstr>
      <vt:lpstr>mileageErr</vt:lpstr>
      <vt:lpstr>mileageFactor</vt:lpstr>
      <vt:lpstr>mileageInput</vt:lpstr>
      <vt:lpstr>minAge</vt:lpstr>
      <vt:lpstr>oldQuoteFound</vt:lpstr>
      <vt:lpstr>parkingLocationErr</vt:lpstr>
      <vt:lpstr>parkingLocationFactor</vt:lpstr>
      <vt:lpstr>parkingLocationLU</vt:lpstr>
      <vt:lpstr>parkingLocationName</vt:lpstr>
      <vt:lpstr>password</vt:lpstr>
      <vt:lpstr>passwords</vt:lpstr>
      <vt:lpstr>postcodeNumber</vt:lpstr>
      <vt:lpstr>postcodeNumberErrMsg</vt:lpstr>
      <vt:lpstr>'Quote Summary'!Print_Area</vt:lpstr>
      <vt:lpstr>quoteNumber</vt:lpstr>
      <vt:lpstr>role</vt:lpstr>
      <vt:lpstr>roles</vt:lpstr>
      <vt:lpstr>stateFactor</vt:lpstr>
      <vt:lpstr>stateLU</vt:lpstr>
      <vt:lpstr>stateName</vt:lpstr>
      <vt:lpstr>stateNameErrMsg</vt:lpstr>
      <vt:lpstr>streetAddress</vt:lpstr>
      <vt:lpstr>streetAddressErrMsg</vt:lpstr>
      <vt:lpstr>suburbName</vt:lpstr>
      <vt:lpstr>suburbNameErrMsg</vt:lpstr>
      <vt:lpstr>surName</vt:lpstr>
      <vt:lpstr>surNameErrMsg</vt:lpstr>
      <vt:lpstr>totalPremium</vt:lpstr>
      <vt:lpstr>totalPremiumCalc</vt:lpstr>
      <vt:lpstr>typeOfInsuranceErr</vt:lpstr>
      <vt:lpstr>typeOfInsuranceName</vt:lpstr>
      <vt:lpstr>username</vt:lpstr>
      <vt:lpstr>usernames</vt:lpstr>
      <vt:lpstr>validLogin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Jukes</dc:creator>
  <cp:lastModifiedBy>Paul Jukes</cp:lastModifiedBy>
  <cp:lastPrinted>2018-08-06T03:47:03Z</cp:lastPrinted>
  <dcterms:created xsi:type="dcterms:W3CDTF">2018-05-04T04:30:18Z</dcterms:created>
  <dcterms:modified xsi:type="dcterms:W3CDTF">2018-08-07T23:52:55Z</dcterms:modified>
</cp:coreProperties>
</file>